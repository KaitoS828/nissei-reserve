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45BFC1FB-5A62-4BFB-850A-714AAA252CFE}" xr6:coauthVersionLast="47" xr6:coauthVersionMax="47" xr10:uidLastSave="{00000000-0000-0000-0000-000000000000}"/>
  <bookViews>
    <workbookView xWindow="28680" yWindow="-120" windowWidth="29040" windowHeight="15720" xr2:uid="{00000000-000D-0000-FFFF-FFFF00000000}"/>
  </bookViews>
  <sheets>
    <sheet name="入力表" sheetId="5" r:id="rId1"/>
    <sheet name="月計表①" sheetId="2" r:id="rId2"/>
    <sheet name="月計表②" sheetId="3" r:id="rId3"/>
    <sheet name="月計表③" sheetId="4" r:id="rId4"/>
    <sheet name="申告書" sheetId="1" r:id="rId5"/>
    <sheet name="納入書" sheetId="6" r:id="rId6"/>
    <sheet name="ｺｰﾄﾞ一覧（50音順）" sheetId="7" state="hidden" r:id="rId7"/>
    <sheet name="ｺｰﾄﾞ一覧（ｺｰﾄﾞ順）" sheetId="8" state="hidden" r:id="rId8"/>
  </sheets>
  <externalReferences>
    <externalReference r:id="rId9"/>
  </externalReferences>
  <definedNames>
    <definedName name="_xlnm.Print_Area" localSheetId="7">'ｺｰﾄﾞ一覧（ｺｰﾄﾞ順）'!$A$1:$C$27</definedName>
    <definedName name="_xlnm.Print_Area" localSheetId="1">月計表①!$B$2:$H$41</definedName>
    <definedName name="_xlnm.Print_Area" localSheetId="2">月計表②!$B$2:$H$41</definedName>
    <definedName name="_xlnm.Print_Area" localSheetId="3">月計表③!$B$2:$H$41</definedName>
    <definedName name="_xlnm.Print_Area" localSheetId="0">入力表!$B$2:$J$25</definedName>
    <definedName name="_xlnm.Print_Area" localSheetId="5">納入書!$A$1:$CB$102</definedName>
    <definedName name="振興局" localSheetId="7">[1]入力欄!$P$3:$S$23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G62" i="6" l="1"/>
  <c r="CH62" i="6" s="1"/>
  <c r="CO62" i="6" s="1"/>
  <c r="G9" i="2"/>
  <c r="E39" i="2"/>
  <c r="BI18" i="6"/>
  <c r="BI80" i="6" s="1"/>
  <c r="O5" i="6"/>
  <c r="E5" i="6"/>
  <c r="D5" i="4"/>
  <c r="C5" i="4"/>
  <c r="D5" i="3"/>
  <c r="C5" i="3"/>
  <c r="D2" i="4"/>
  <c r="D3" i="4"/>
  <c r="D3" i="3"/>
  <c r="D3" i="2"/>
  <c r="D2" i="3"/>
  <c r="D2" i="2"/>
  <c r="D5" i="2"/>
  <c r="C5" i="2"/>
  <c r="I11" i="1"/>
  <c r="I10" i="1"/>
  <c r="I9" i="1"/>
  <c r="I7" i="1"/>
  <c r="I6" i="1"/>
  <c r="A4" i="1"/>
  <c r="K9" i="5"/>
  <c r="X8" i="1" s="1"/>
  <c r="F39" i="2" l="1"/>
  <c r="CL62" i="6"/>
  <c r="CI62" i="6"/>
  <c r="CQ62" i="6"/>
  <c r="CJ62" i="6"/>
  <c r="CN62" i="6"/>
  <c r="CP62" i="6"/>
  <c r="CM62" i="6"/>
  <c r="F39" i="4"/>
  <c r="K27" i="1" s="1"/>
  <c r="BI49" i="6"/>
  <c r="J8" i="1"/>
  <c r="N8" i="1"/>
  <c r="U8" i="1"/>
  <c r="K8" i="1"/>
  <c r="P8" i="1"/>
  <c r="V8" i="1"/>
  <c r="L8" i="1"/>
  <c r="Q8" i="1"/>
  <c r="W8" i="1"/>
  <c r="M8" i="1"/>
  <c r="T8" i="1"/>
  <c r="I8" i="1"/>
  <c r="BZ73" i="6" l="1"/>
  <c r="BZ42" i="6"/>
  <c r="K19" i="5"/>
  <c r="K20" i="5"/>
  <c r="K21" i="5"/>
  <c r="K22" i="5"/>
  <c r="B14" i="1" l="1"/>
  <c r="B24" i="1"/>
  <c r="B19" i="1"/>
  <c r="E67" i="6"/>
  <c r="O67" i="6"/>
  <c r="CG33" i="6"/>
  <c r="CH33" i="6" s="1"/>
  <c r="CG34" i="6"/>
  <c r="CH34" i="6" s="1"/>
  <c r="CG35" i="6"/>
  <c r="CH35" i="6" s="1"/>
  <c r="CK35" i="6" s="1"/>
  <c r="BN12" i="6" s="1"/>
  <c r="CG36" i="6"/>
  <c r="CH36" i="6" s="1"/>
  <c r="BP5" i="6"/>
  <c r="BP67" i="6" s="1"/>
  <c r="BL5" i="6"/>
  <c r="I23" i="5"/>
  <c r="R19" i="6"/>
  <c r="R81" i="6" s="1"/>
  <c r="R18" i="6"/>
  <c r="R80" i="6" s="1"/>
  <c r="R11" i="6"/>
  <c r="R73" i="6" s="1"/>
  <c r="AV5" i="6" l="1"/>
  <c r="AV67" i="6" s="1"/>
  <c r="BN74" i="6"/>
  <c r="BN43" i="6"/>
  <c r="CK36" i="6"/>
  <c r="CJ36" i="6"/>
  <c r="CO36" i="6"/>
  <c r="CL36" i="6"/>
  <c r="CP36" i="6"/>
  <c r="CM36" i="6"/>
  <c r="CQ36" i="6"/>
  <c r="CI36" i="6"/>
  <c r="CN36" i="6"/>
  <c r="CI35" i="6"/>
  <c r="CN35" i="6"/>
  <c r="CL35" i="6"/>
  <c r="CP35" i="6"/>
  <c r="CM35" i="6"/>
  <c r="CQ35" i="6"/>
  <c r="CJ35" i="6"/>
  <c r="CO35" i="6"/>
  <c r="CL34" i="6"/>
  <c r="CP34" i="6"/>
  <c r="CJ34" i="6"/>
  <c r="CO34" i="6"/>
  <c r="CK34" i="6"/>
  <c r="CM34" i="6"/>
  <c r="CQ34" i="6"/>
  <c r="BZ11" i="6" s="1"/>
  <c r="CI34" i="6"/>
  <c r="CN34" i="6"/>
  <c r="CM33" i="6"/>
  <c r="CQ33" i="6"/>
  <c r="CP33" i="6"/>
  <c r="CI33" i="6"/>
  <c r="CN33" i="6"/>
  <c r="CJ33" i="6"/>
  <c r="CO33" i="6"/>
  <c r="CK33" i="6"/>
  <c r="CL33" i="6"/>
  <c r="E36" i="6"/>
  <c r="O36" i="6"/>
  <c r="B21" i="1"/>
  <c r="B26" i="1"/>
  <c r="B16" i="1"/>
  <c r="BL36" i="6"/>
  <c r="BP36" i="6"/>
  <c r="BL67" i="6"/>
  <c r="R42" i="6"/>
  <c r="R49" i="6"/>
  <c r="R50" i="6"/>
  <c r="E39" i="4"/>
  <c r="K25" i="1" s="1"/>
  <c r="D39" i="4"/>
  <c r="C39" i="4"/>
  <c r="K23" i="1" s="1"/>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F39" i="3"/>
  <c r="K22" i="1" s="1"/>
  <c r="E39" i="3"/>
  <c r="D39" i="3"/>
  <c r="C39" i="3"/>
  <c r="K18" i="1" s="1"/>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D39" i="2"/>
  <c r="C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8" i="2"/>
  <c r="K13" i="1" l="1"/>
  <c r="G39" i="2"/>
  <c r="K17" i="1"/>
  <c r="C41" i="4"/>
  <c r="AV36" i="6"/>
  <c r="E41" i="3"/>
  <c r="K20" i="1"/>
  <c r="C41" i="3"/>
  <c r="E41" i="2"/>
  <c r="K15" i="1"/>
  <c r="D41" i="2"/>
  <c r="K14" i="1"/>
  <c r="C41" i="2"/>
  <c r="BN76" i="6"/>
  <c r="BN14" i="6"/>
  <c r="BN45" i="6"/>
  <c r="BP45" i="6"/>
  <c r="BP76" i="6"/>
  <c r="BP14" i="6"/>
  <c r="BZ45" i="6"/>
  <c r="BZ76" i="6"/>
  <c r="BZ14" i="6"/>
  <c r="BV76" i="6"/>
  <c r="BV14" i="6"/>
  <c r="BV45" i="6"/>
  <c r="BT76" i="6"/>
  <c r="BT14" i="6"/>
  <c r="BT45" i="6"/>
  <c r="BX45" i="6"/>
  <c r="BX76" i="6"/>
  <c r="BX14" i="6"/>
  <c r="BI45" i="6"/>
  <c r="BI76" i="6"/>
  <c r="BI14" i="6"/>
  <c r="BR45" i="6"/>
  <c r="BR76" i="6"/>
  <c r="BR14" i="6"/>
  <c r="BL76" i="6"/>
  <c r="BL14" i="6"/>
  <c r="BL45" i="6"/>
  <c r="BL12" i="6"/>
  <c r="BL74" i="6"/>
  <c r="BL43" i="6"/>
  <c r="BP74" i="6"/>
  <c r="BP12" i="6"/>
  <c r="BP43" i="6"/>
  <c r="BV43" i="6"/>
  <c r="BV12" i="6"/>
  <c r="BV74" i="6"/>
  <c r="BZ43" i="6"/>
  <c r="BZ74" i="6"/>
  <c r="BZ12" i="6"/>
  <c r="BT43" i="6"/>
  <c r="BT12" i="6"/>
  <c r="BT74" i="6"/>
  <c r="BX74" i="6"/>
  <c r="BX12" i="6"/>
  <c r="BX43" i="6"/>
  <c r="BR74" i="6"/>
  <c r="BR43" i="6"/>
  <c r="BR12" i="6"/>
  <c r="BI43" i="6"/>
  <c r="BI12" i="6"/>
  <c r="BI74" i="6"/>
  <c r="BR11" i="6"/>
  <c r="BR42" i="6"/>
  <c r="BR73" i="6"/>
  <c r="BT42" i="6"/>
  <c r="BT11" i="6"/>
  <c r="BT73" i="6"/>
  <c r="BN73" i="6"/>
  <c r="BN11" i="6"/>
  <c r="BN42" i="6"/>
  <c r="BP73" i="6"/>
  <c r="BP42" i="6"/>
  <c r="BP11" i="6"/>
  <c r="BX73" i="6"/>
  <c r="BX42" i="6"/>
  <c r="BX11" i="6"/>
  <c r="BI42" i="6"/>
  <c r="BI73" i="6"/>
  <c r="BI11" i="6"/>
  <c r="BV73" i="6"/>
  <c r="BV11" i="6"/>
  <c r="BV42" i="6"/>
  <c r="BL42" i="6"/>
  <c r="BL11" i="6"/>
  <c r="BL73" i="6"/>
  <c r="BL71" i="6"/>
  <c r="BL9" i="6"/>
  <c r="BL40" i="6"/>
  <c r="BR40" i="6"/>
  <c r="BR9" i="6"/>
  <c r="BR71" i="6"/>
  <c r="BN71" i="6"/>
  <c r="BN40" i="6"/>
  <c r="BN9" i="6"/>
  <c r="BI40" i="6"/>
  <c r="BI71" i="6"/>
  <c r="BI9" i="6"/>
  <c r="BP9" i="6"/>
  <c r="BP40" i="6"/>
  <c r="BP71" i="6"/>
  <c r="BT71" i="6"/>
  <c r="BT9" i="6"/>
  <c r="BT40" i="6"/>
  <c r="BV9" i="6"/>
  <c r="BV40" i="6"/>
  <c r="BV71" i="6"/>
  <c r="BX9" i="6"/>
  <c r="BX40" i="6"/>
  <c r="BX71" i="6"/>
  <c r="BZ40" i="6"/>
  <c r="BZ9" i="6"/>
  <c r="BZ71" i="6"/>
  <c r="E41" i="4"/>
  <c r="D41" i="4"/>
  <c r="K24" i="1"/>
  <c r="D41" i="3"/>
  <c r="K19" i="1"/>
  <c r="G39" i="3"/>
  <c r="G41" i="2" l="1"/>
  <c r="G41" i="3"/>
  <c r="G39" i="4"/>
  <c r="G41" i="4"/>
  <c r="K26" i="1"/>
  <c r="R25" i="1"/>
  <c r="R24" i="1"/>
  <c r="R23" i="1"/>
  <c r="K21" i="1"/>
  <c r="R20" i="1"/>
  <c r="R19" i="1"/>
  <c r="R18" i="1"/>
  <c r="R14" i="1"/>
  <c r="R15" i="1"/>
  <c r="R13" i="1"/>
  <c r="K16" i="1"/>
  <c r="K28" i="1" s="1"/>
  <c r="R16" i="1" l="1"/>
  <c r="R26" i="1"/>
  <c r="R21" i="1"/>
  <c r="R28" i="1" l="1"/>
  <c r="E18" i="5" s="1"/>
  <c r="CG31" i="6" l="1"/>
  <c r="K18" i="5"/>
  <c r="E23" i="5"/>
  <c r="K23" i="5" s="1"/>
  <c r="CH31" i="6" l="1"/>
  <c r="CK62" i="6" s="1"/>
  <c r="CG37" i="6"/>
  <c r="CH37" i="6" s="1"/>
  <c r="CK37" i="6" s="1"/>
  <c r="CQ31" i="6" l="1"/>
  <c r="CM31" i="6"/>
  <c r="CK31" i="6"/>
  <c r="CO31" i="6"/>
  <c r="CI31" i="6"/>
  <c r="CP31" i="6"/>
  <c r="CL31" i="6"/>
  <c r="CJ31" i="6"/>
  <c r="CN31" i="6"/>
  <c r="CJ37" i="6"/>
  <c r="CN37" i="6"/>
  <c r="CL37" i="6"/>
  <c r="CP37" i="6"/>
  <c r="CI37" i="6"/>
  <c r="CQ37" i="6"/>
  <c r="CO37" i="6"/>
  <c r="CM37" i="6"/>
  <c r="BT78" i="6" l="1"/>
  <c r="BT47" i="6"/>
  <c r="BT16" i="6"/>
  <c r="BV70" i="6"/>
  <c r="BV39" i="6"/>
  <c r="BV8" i="6"/>
  <c r="BL78" i="6"/>
  <c r="BL47" i="6"/>
  <c r="BL16" i="6"/>
  <c r="BX8" i="6"/>
  <c r="BX39" i="6"/>
  <c r="BX70" i="6"/>
  <c r="BN70" i="6"/>
  <c r="BN39" i="6"/>
  <c r="BN8" i="6"/>
  <c r="BR78" i="6"/>
  <c r="BR16" i="6"/>
  <c r="BR47" i="6"/>
  <c r="BX47" i="6"/>
  <c r="BX78" i="6"/>
  <c r="BX16" i="6"/>
  <c r="BT8" i="6"/>
  <c r="BT70" i="6"/>
  <c r="BT39" i="6"/>
  <c r="BN47" i="6"/>
  <c r="BN16" i="6"/>
  <c r="BN78" i="6"/>
  <c r="BR39" i="6"/>
  <c r="BR70" i="6"/>
  <c r="BR8" i="6"/>
  <c r="BZ78" i="6"/>
  <c r="BZ16" i="6"/>
  <c r="BZ47" i="6"/>
  <c r="BP8" i="6"/>
  <c r="BP39" i="6"/>
  <c r="BP70" i="6"/>
  <c r="BI78" i="6"/>
  <c r="BI16" i="6"/>
  <c r="BI47" i="6"/>
  <c r="BV47" i="6"/>
  <c r="BV16" i="6"/>
  <c r="BV78" i="6"/>
  <c r="BP47" i="6"/>
  <c r="BP78" i="6"/>
  <c r="BP16" i="6"/>
  <c r="BL8" i="6"/>
  <c r="BL70" i="6"/>
  <c r="BL39" i="6"/>
  <c r="BI39" i="6"/>
  <c r="BZ39" i="6"/>
  <c r="BZ70" i="6"/>
  <c r="BZ8" i="6"/>
</calcChain>
</file>

<file path=xl/sharedStrings.xml><?xml version="1.0" encoding="utf-8"?>
<sst xmlns="http://schemas.openxmlformats.org/spreadsheetml/2006/main" count="1043" uniqueCount="678">
  <si>
    <t>令和</t>
    <rPh sb="0" eb="2">
      <t>レイワ</t>
    </rPh>
    <phoneticPr fontId="1"/>
  </si>
  <si>
    <t>年</t>
    <rPh sb="0" eb="1">
      <t>ネン</t>
    </rPh>
    <phoneticPr fontId="1"/>
  </si>
  <si>
    <t>１人１泊２万円未満</t>
    <rPh sb="1" eb="2">
      <t>ニン</t>
    </rPh>
    <rPh sb="3" eb="4">
      <t>パク</t>
    </rPh>
    <rPh sb="5" eb="6">
      <t>マン</t>
    </rPh>
    <rPh sb="6" eb="9">
      <t>エンミマン</t>
    </rPh>
    <phoneticPr fontId="1"/>
  </si>
  <si>
    <t>１人１泊２万円以上５万円未満</t>
    <rPh sb="1" eb="2">
      <t>ニン</t>
    </rPh>
    <rPh sb="3" eb="4">
      <t>パク</t>
    </rPh>
    <rPh sb="5" eb="6">
      <t>マン</t>
    </rPh>
    <rPh sb="6" eb="9">
      <t>エンイジョウ</t>
    </rPh>
    <rPh sb="10" eb="12">
      <t>マンエン</t>
    </rPh>
    <rPh sb="12" eb="14">
      <t>ミマン</t>
    </rPh>
    <phoneticPr fontId="1"/>
  </si>
  <si>
    <t>１人１泊５万円以上</t>
    <rPh sb="1" eb="2">
      <t>ニン</t>
    </rPh>
    <rPh sb="3" eb="4">
      <t>パク</t>
    </rPh>
    <rPh sb="5" eb="6">
      <t>マン</t>
    </rPh>
    <rPh sb="6" eb="7">
      <t>エン</t>
    </rPh>
    <rPh sb="7" eb="9">
      <t>イジョウ</t>
    </rPh>
    <phoneticPr fontId="1"/>
  </si>
  <si>
    <t>小　　計</t>
    <rPh sb="0" eb="1">
      <t>ショウ</t>
    </rPh>
    <rPh sb="3" eb="4">
      <t>ケイ</t>
    </rPh>
    <phoneticPr fontId="1"/>
  </si>
  <si>
    <t>課税免除</t>
    <rPh sb="0" eb="2">
      <t>カゼイ</t>
    </rPh>
    <rPh sb="2" eb="4">
      <t>メンジョ</t>
    </rPh>
    <phoneticPr fontId="1"/>
  </si>
  <si>
    <t>月</t>
    <rPh sb="0" eb="1">
      <t>ガツ</t>
    </rPh>
    <phoneticPr fontId="1"/>
  </si>
  <si>
    <t>区　　　分</t>
    <rPh sb="0" eb="1">
      <t>ク</t>
    </rPh>
    <rPh sb="4" eb="5">
      <t>ブン</t>
    </rPh>
    <phoneticPr fontId="1"/>
  </si>
  <si>
    <t>所在地</t>
    <rPh sb="0" eb="3">
      <t>ショザイチ</t>
    </rPh>
    <phoneticPr fontId="1"/>
  </si>
  <si>
    <t>名称</t>
    <rPh sb="0" eb="2">
      <t>メイショウ</t>
    </rPh>
    <phoneticPr fontId="1"/>
  </si>
  <si>
    <t>指定番号
（徴収原簿番号）</t>
    <rPh sb="0" eb="2">
      <t>シテイ</t>
    </rPh>
    <rPh sb="2" eb="4">
      <t>バンゴウ</t>
    </rPh>
    <rPh sb="6" eb="8">
      <t>チョウシュウ</t>
    </rPh>
    <rPh sb="8" eb="10">
      <t>ゲンボ</t>
    </rPh>
    <rPh sb="10" eb="12">
      <t>バンゴウ</t>
    </rPh>
    <phoneticPr fontId="1"/>
  </si>
  <si>
    <t>宿泊
施設</t>
    <rPh sb="0" eb="2">
      <t>シュクハク</t>
    </rPh>
    <rPh sb="3" eb="5">
      <t>シセツ</t>
    </rPh>
    <phoneticPr fontId="1"/>
  </si>
  <si>
    <t>特別徴収
義務者</t>
    <rPh sb="0" eb="2">
      <t>トクベツ</t>
    </rPh>
    <rPh sb="2" eb="4">
      <t>チョウシュウ</t>
    </rPh>
    <rPh sb="5" eb="8">
      <t>ギムシャ</t>
    </rPh>
    <phoneticPr fontId="1"/>
  </si>
  <si>
    <t>住所（所在地）</t>
    <rPh sb="0" eb="2">
      <t>ジュウショ</t>
    </rPh>
    <rPh sb="3" eb="6">
      <t>ショザイチ</t>
    </rPh>
    <phoneticPr fontId="1"/>
  </si>
  <si>
    <t>氏名(名称)・代表者の氏名</t>
    <rPh sb="0" eb="2">
      <t>シメイ</t>
    </rPh>
    <rPh sb="3" eb="5">
      <t>メイショウ</t>
    </rPh>
    <rPh sb="7" eb="10">
      <t>ダイヒョウシャ</t>
    </rPh>
    <rPh sb="11" eb="13">
      <t>シメイ</t>
    </rPh>
    <phoneticPr fontId="1"/>
  </si>
  <si>
    <t>個人番号又は法人番号</t>
    <rPh sb="0" eb="2">
      <t>コジン</t>
    </rPh>
    <rPh sb="2" eb="4">
      <t>バンゴウ</t>
    </rPh>
    <rPh sb="4" eb="5">
      <t>マタ</t>
    </rPh>
    <rPh sb="6" eb="8">
      <t>ホウジン</t>
    </rPh>
    <rPh sb="8" eb="10">
      <t>バンゴウ</t>
    </rPh>
    <phoneticPr fontId="1"/>
  </si>
  <si>
    <t>宿泊数</t>
    <rPh sb="0" eb="3">
      <t>シュクハクスウ</t>
    </rPh>
    <phoneticPr fontId="1"/>
  </si>
  <si>
    <t>税　　　額</t>
    <rPh sb="0" eb="1">
      <t>ゼイ</t>
    </rPh>
    <rPh sb="4" eb="5">
      <t>ガク</t>
    </rPh>
    <phoneticPr fontId="1"/>
  </si>
  <si>
    <t>北海道　札幌道税事務所長　様</t>
    <rPh sb="0" eb="3">
      <t>ホッカイドウ</t>
    </rPh>
    <rPh sb="4" eb="6">
      <t>サッポロ</t>
    </rPh>
    <rPh sb="6" eb="8">
      <t>ドウゼイ</t>
    </rPh>
    <rPh sb="8" eb="10">
      <t>ジム</t>
    </rPh>
    <rPh sb="10" eb="12">
      <t>ショチョウ</t>
    </rPh>
    <rPh sb="13" eb="14">
      <t>サマ</t>
    </rPh>
    <phoneticPr fontId="1"/>
  </si>
  <si>
    <t>※処理事項</t>
    <rPh sb="1" eb="3">
      <t>ショリ</t>
    </rPh>
    <rPh sb="3" eb="5">
      <t>ジコウ</t>
    </rPh>
    <phoneticPr fontId="1"/>
  </si>
  <si>
    <t>通信日付印</t>
    <rPh sb="0" eb="2">
      <t>ツウシン</t>
    </rPh>
    <rPh sb="2" eb="4">
      <t>ヒヅケ</t>
    </rPh>
    <rPh sb="4" eb="5">
      <t>イン</t>
    </rPh>
    <phoneticPr fontId="1"/>
  </si>
  <si>
    <t>確認印</t>
    <rPh sb="0" eb="3">
      <t>カクニンイン</t>
    </rPh>
    <phoneticPr fontId="1"/>
  </si>
  <si>
    <t>徴収原簿番号</t>
    <rPh sb="0" eb="2">
      <t>チョウシュウ</t>
    </rPh>
    <rPh sb="2" eb="4">
      <t>ゲンボ</t>
    </rPh>
    <rPh sb="4" eb="6">
      <t>バンゴウ</t>
    </rPh>
    <phoneticPr fontId="1"/>
  </si>
  <si>
    <t>発信年月日</t>
    <rPh sb="0" eb="2">
      <t>ハッシン</t>
    </rPh>
    <rPh sb="2" eb="5">
      <t>ネンガッピ</t>
    </rPh>
    <phoneticPr fontId="1"/>
  </si>
  <si>
    <t>円</t>
    <rPh sb="0" eb="1">
      <t>エン</t>
    </rPh>
    <phoneticPr fontId="1"/>
  </si>
  <si>
    <t>合　　計</t>
    <rPh sb="0" eb="1">
      <t>ゴウ</t>
    </rPh>
    <rPh sb="3" eb="4">
      <t>ケイ</t>
    </rPh>
    <phoneticPr fontId="1"/>
  </si>
  <si>
    <t>宿泊税納入申告書</t>
    <rPh sb="0" eb="3">
      <t>シュクハクゼイ</t>
    </rPh>
    <rPh sb="3" eb="5">
      <t>ノウニュウ</t>
    </rPh>
    <rPh sb="5" eb="8">
      <t>シンコクショ</t>
    </rPh>
    <phoneticPr fontId="1"/>
  </si>
  <si>
    <t>注意　※印欄は、記入しないでください。</t>
    <rPh sb="0" eb="2">
      <t>チュウイ</t>
    </rPh>
    <rPh sb="4" eb="5">
      <t>シルシ</t>
    </rPh>
    <rPh sb="5" eb="6">
      <t>ラン</t>
    </rPh>
    <rPh sb="8" eb="10">
      <t>キニュウ</t>
    </rPh>
    <phoneticPr fontId="1"/>
  </si>
  <si>
    <t>宿　泊　月</t>
    <rPh sb="0" eb="1">
      <t>ヤド</t>
    </rPh>
    <rPh sb="2" eb="3">
      <t>ハク</t>
    </rPh>
    <rPh sb="4" eb="5">
      <t>ツキ</t>
    </rPh>
    <phoneticPr fontId="1"/>
  </si>
  <si>
    <t>税　率</t>
    <rPh sb="0" eb="1">
      <t>ゼイ</t>
    </rPh>
    <rPh sb="2" eb="3">
      <t>リツ</t>
    </rPh>
    <phoneticPr fontId="1"/>
  </si>
  <si>
    <t>宿泊施設名</t>
    <rPh sb="0" eb="2">
      <t>シュクハク</t>
    </rPh>
    <rPh sb="2" eb="4">
      <t>シセツ</t>
    </rPh>
    <rPh sb="4" eb="5">
      <t>メイ</t>
    </rPh>
    <phoneticPr fontId="1"/>
  </si>
  <si>
    <t>日付</t>
    <rPh sb="0" eb="2">
      <t>ヒヅケ</t>
    </rPh>
    <phoneticPr fontId="1"/>
  </si>
  <si>
    <t>宿泊料金が２万円
以上５万円未満</t>
    <rPh sb="0" eb="2">
      <t>シュクハク</t>
    </rPh>
    <rPh sb="2" eb="4">
      <t>リョウキン</t>
    </rPh>
    <rPh sb="6" eb="8">
      <t>マンエン</t>
    </rPh>
    <rPh sb="9" eb="11">
      <t>イジョウ</t>
    </rPh>
    <rPh sb="12" eb="14">
      <t>マンエン</t>
    </rPh>
    <rPh sb="14" eb="16">
      <t>ミマン</t>
    </rPh>
    <phoneticPr fontId="1"/>
  </si>
  <si>
    <t>合計</t>
    <rPh sb="0" eb="2">
      <t>ゴウケイ</t>
    </rPh>
    <phoneticPr fontId="1"/>
  </si>
  <si>
    <t>税率（円）</t>
    <rPh sb="0" eb="2">
      <t>ゼイリツ</t>
    </rPh>
    <rPh sb="3" eb="4">
      <t>エン</t>
    </rPh>
    <phoneticPr fontId="1"/>
  </si>
  <si>
    <t>税額（円）</t>
    <rPh sb="0" eb="2">
      <t>ゼイガク</t>
    </rPh>
    <rPh sb="3" eb="4">
      <t>エン</t>
    </rPh>
    <phoneticPr fontId="1"/>
  </si>
  <si>
    <t>特別徴収義務者</t>
    <rPh sb="0" eb="2">
      <t>トクベツ</t>
    </rPh>
    <rPh sb="2" eb="4">
      <t>チョウシュウ</t>
    </rPh>
    <rPh sb="4" eb="7">
      <t>ギムシャ</t>
    </rPh>
    <phoneticPr fontId="6"/>
  </si>
  <si>
    <t>宿泊施設名</t>
    <rPh sb="0" eb="2">
      <t>シュクハク</t>
    </rPh>
    <rPh sb="2" eb="5">
      <t>シセツメイ</t>
    </rPh>
    <phoneticPr fontId="6"/>
  </si>
  <si>
    <t>申告対象月</t>
    <rPh sb="0" eb="2">
      <t>シンコク</t>
    </rPh>
    <rPh sb="2" eb="4">
      <t>タイショウ</t>
    </rPh>
    <rPh sb="4" eb="5">
      <t>ツキ</t>
    </rPh>
    <phoneticPr fontId="6"/>
  </si>
  <si>
    <t>～</t>
    <phoneticPr fontId="6"/>
  </si>
  <si>
    <t>本税</t>
    <rPh sb="0" eb="2">
      <t>ホンゼイ</t>
    </rPh>
    <phoneticPr fontId="6"/>
  </si>
  <si>
    <t>延滞金</t>
    <rPh sb="0" eb="3">
      <t>エンタイキン</t>
    </rPh>
    <phoneticPr fontId="1"/>
  </si>
  <si>
    <t>延滞金</t>
    <rPh sb="0" eb="3">
      <t>エンタイキン</t>
    </rPh>
    <phoneticPr fontId="6"/>
  </si>
  <si>
    <t>過少申告加算金</t>
    <rPh sb="0" eb="2">
      <t>カショウ</t>
    </rPh>
    <rPh sb="2" eb="4">
      <t>シンコク</t>
    </rPh>
    <rPh sb="4" eb="7">
      <t>カサンキン</t>
    </rPh>
    <phoneticPr fontId="6"/>
  </si>
  <si>
    <t>不申告加算金</t>
    <rPh sb="0" eb="1">
      <t>フ</t>
    </rPh>
    <rPh sb="1" eb="3">
      <t>シンコク</t>
    </rPh>
    <rPh sb="3" eb="6">
      <t>カサンキン</t>
    </rPh>
    <phoneticPr fontId="6"/>
  </si>
  <si>
    <t>重加算金</t>
    <rPh sb="0" eb="1">
      <t>ジュウ</t>
    </rPh>
    <rPh sb="1" eb="4">
      <t>カサンキン</t>
    </rPh>
    <phoneticPr fontId="6"/>
  </si>
  <si>
    <t>計</t>
    <rPh sb="0" eb="1">
      <t>ケイ</t>
    </rPh>
    <phoneticPr fontId="6"/>
  </si>
  <si>
    <t>道税</t>
    <rPh sb="0" eb="2">
      <t>ドウゼイ</t>
    </rPh>
    <phoneticPr fontId="6"/>
  </si>
  <si>
    <t>都道府県コード</t>
    <rPh sb="0" eb="4">
      <t>トドウフケン</t>
    </rPh>
    <phoneticPr fontId="6"/>
  </si>
  <si>
    <t>領収証書</t>
    <rPh sb="0" eb="3">
      <t>リョウシュウショウ</t>
    </rPh>
    <rPh sb="3" eb="4">
      <t>ショ</t>
    </rPh>
    <phoneticPr fontId="6"/>
  </si>
  <si>
    <t>公</t>
    <rPh sb="0" eb="1">
      <t>オオヤケ</t>
    </rPh>
    <phoneticPr fontId="6"/>
  </si>
  <si>
    <t>年度</t>
    <rPh sb="0" eb="2">
      <t>ネンド</t>
    </rPh>
    <phoneticPr fontId="1"/>
  </si>
  <si>
    <t>年度</t>
    <rPh sb="0" eb="2">
      <t>ネンド</t>
    </rPh>
    <phoneticPr fontId="6"/>
  </si>
  <si>
    <t>期別(申告区分)</t>
    <rPh sb="0" eb="1">
      <t>キ</t>
    </rPh>
    <rPh sb="1" eb="2">
      <t>ベツ</t>
    </rPh>
    <rPh sb="3" eb="5">
      <t>シンコク</t>
    </rPh>
    <rPh sb="5" eb="7">
      <t>クブン</t>
    </rPh>
    <phoneticPr fontId="6"/>
  </si>
  <si>
    <t>振替口座</t>
    <rPh sb="0" eb="2">
      <t>フリカエ</t>
    </rPh>
    <rPh sb="2" eb="4">
      <t>コウザ</t>
    </rPh>
    <phoneticPr fontId="6"/>
  </si>
  <si>
    <t>取扱庁</t>
    <rPh sb="0" eb="2">
      <t>トリアツカイ</t>
    </rPh>
    <rPh sb="2" eb="3">
      <t>チョウ</t>
    </rPh>
    <phoneticPr fontId="6"/>
  </si>
  <si>
    <t>事務所</t>
    <rPh sb="0" eb="2">
      <t>ジム</t>
    </rPh>
    <rPh sb="2" eb="3">
      <t>ショ</t>
    </rPh>
    <phoneticPr fontId="6"/>
  </si>
  <si>
    <t>徴収原簿番号</t>
    <rPh sb="0" eb="6">
      <t>チョウシュウゲンボバンゴウ</t>
    </rPh>
    <phoneticPr fontId="6"/>
  </si>
  <si>
    <t>納税者保存</t>
    <rPh sb="0" eb="3">
      <t>ノウゼイシャ</t>
    </rPh>
    <rPh sb="3" eb="5">
      <t>ホゾン</t>
    </rPh>
    <phoneticPr fontId="6"/>
  </si>
  <si>
    <t>26</t>
    <phoneticPr fontId="6"/>
  </si>
  <si>
    <t>02740-9-960011</t>
    <phoneticPr fontId="6"/>
  </si>
  <si>
    <t>(札　幌)地区</t>
    <rPh sb="1" eb="2">
      <t>サツ</t>
    </rPh>
    <rPh sb="3" eb="4">
      <t>ホロ</t>
    </rPh>
    <rPh sb="5" eb="7">
      <t>チク</t>
    </rPh>
    <phoneticPr fontId="6"/>
  </si>
  <si>
    <t>税　　目</t>
    <rPh sb="0" eb="1">
      <t>ゼイ</t>
    </rPh>
    <rPh sb="3" eb="4">
      <t>メ</t>
    </rPh>
    <phoneticPr fontId="6"/>
  </si>
  <si>
    <t xml:space="preserve"> 宿 泊 税</t>
    <rPh sb="1" eb="2">
      <t>ヤド</t>
    </rPh>
    <rPh sb="3" eb="4">
      <t>トマリ</t>
    </rPh>
    <rPh sb="5" eb="6">
      <t>ゼイ</t>
    </rPh>
    <phoneticPr fontId="6"/>
  </si>
  <si>
    <t>税　　額</t>
    <rPh sb="0" eb="1">
      <t>ゼイ</t>
    </rPh>
    <rPh sb="3" eb="4">
      <t>ガク</t>
    </rPh>
    <phoneticPr fontId="6"/>
  </si>
  <si>
    <t>延滞金額</t>
    <rPh sb="0" eb="2">
      <t>エンタイ</t>
    </rPh>
    <rPh sb="2" eb="4">
      <t>キンガク</t>
    </rPh>
    <phoneticPr fontId="6"/>
  </si>
  <si>
    <t>住所(所在地)</t>
    <rPh sb="0" eb="2">
      <t>ジュウショ</t>
    </rPh>
    <rPh sb="3" eb="6">
      <t>ショザイチ</t>
    </rPh>
    <phoneticPr fontId="6"/>
  </si>
  <si>
    <t>加算金額</t>
    <rPh sb="0" eb="2">
      <t>カサン</t>
    </rPh>
    <rPh sb="2" eb="4">
      <t>キンガク</t>
    </rPh>
    <phoneticPr fontId="6"/>
  </si>
  <si>
    <t>過少申告</t>
    <rPh sb="0" eb="4">
      <t>カショウシンコク</t>
    </rPh>
    <phoneticPr fontId="6"/>
  </si>
  <si>
    <t>不 申 告</t>
    <rPh sb="0" eb="1">
      <t>フ</t>
    </rPh>
    <rPh sb="2" eb="3">
      <t>サル</t>
    </rPh>
    <rPh sb="4" eb="5">
      <t>コク</t>
    </rPh>
    <phoneticPr fontId="6"/>
  </si>
  <si>
    <t>延滞金額計算内訳</t>
    <rPh sb="0" eb="3">
      <t>エンタイキン</t>
    </rPh>
    <rPh sb="3" eb="4">
      <t>ガク</t>
    </rPh>
    <rPh sb="4" eb="6">
      <t>ケイサン</t>
    </rPh>
    <rPh sb="6" eb="8">
      <t>ウチワケ</t>
    </rPh>
    <phoneticPr fontId="6"/>
  </si>
  <si>
    <t>日　数</t>
    <rPh sb="0" eb="1">
      <t>ヒ</t>
    </rPh>
    <rPh sb="2" eb="3">
      <t>スウ</t>
    </rPh>
    <phoneticPr fontId="6"/>
  </si>
  <si>
    <t>年率</t>
    <rPh sb="0" eb="2">
      <t>ネンリツ</t>
    </rPh>
    <phoneticPr fontId="6"/>
  </si>
  <si>
    <t>金　額</t>
    <rPh sb="0" eb="1">
      <t>カネ</t>
    </rPh>
    <rPh sb="2" eb="3">
      <t>ガク</t>
    </rPh>
    <phoneticPr fontId="6"/>
  </si>
  <si>
    <t>重</t>
    <rPh sb="0" eb="1">
      <t>オモ</t>
    </rPh>
    <phoneticPr fontId="6"/>
  </si>
  <si>
    <t>日</t>
    <rPh sb="0" eb="1">
      <t>ニチ</t>
    </rPh>
    <phoneticPr fontId="6"/>
  </si>
  <si>
    <t>%</t>
    <phoneticPr fontId="6"/>
  </si>
  <si>
    <t>円</t>
    <rPh sb="0" eb="1">
      <t>エン</t>
    </rPh>
    <phoneticPr fontId="6"/>
  </si>
  <si>
    <t>合 計 額</t>
    <rPh sb="0" eb="1">
      <t>ゴウ</t>
    </rPh>
    <rPh sb="2" eb="3">
      <t>ケイ</t>
    </rPh>
    <rPh sb="4" eb="5">
      <t>ガク</t>
    </rPh>
    <phoneticPr fontId="6"/>
  </si>
  <si>
    <t>氏名(名称)</t>
    <rPh sb="0" eb="2">
      <t>シメイ</t>
    </rPh>
    <rPh sb="3" eb="5">
      <t>メイショウ</t>
    </rPh>
    <phoneticPr fontId="6"/>
  </si>
  <si>
    <t>納 期 限</t>
    <rPh sb="0" eb="1">
      <t>オサメ</t>
    </rPh>
    <rPh sb="2" eb="3">
      <t>キ</t>
    </rPh>
    <rPh sb="4" eb="5">
      <t>キリ</t>
    </rPh>
    <phoneticPr fontId="6"/>
  </si>
  <si>
    <t>様</t>
    <rPh sb="0" eb="1">
      <t>サマ</t>
    </rPh>
    <phoneticPr fontId="6"/>
  </si>
  <si>
    <t>納　付　（納　入）　場　所</t>
    <rPh sb="0" eb="1">
      <t>オサメ</t>
    </rPh>
    <rPh sb="2" eb="3">
      <t>ツキ</t>
    </rPh>
    <rPh sb="5" eb="6">
      <t>オサメ</t>
    </rPh>
    <rPh sb="7" eb="8">
      <t>イ</t>
    </rPh>
    <rPh sb="10" eb="11">
      <t>バ</t>
    </rPh>
    <rPh sb="12" eb="13">
      <t>ショ</t>
    </rPh>
    <phoneticPr fontId="6"/>
  </si>
  <si>
    <t>　上記の金額を領収しました。</t>
    <rPh sb="1" eb="3">
      <t>ジョウキ</t>
    </rPh>
    <rPh sb="4" eb="6">
      <t>キンガク</t>
    </rPh>
    <rPh sb="7" eb="9">
      <t>リョウシュウ</t>
    </rPh>
    <phoneticPr fontId="6"/>
  </si>
  <si>
    <t xml:space="preserve"> 北海道指定(収納代理)金融機関
 北海道収入取扱員
 道内郵便局</t>
    <rPh sb="1" eb="4">
      <t>ホッカイドウ</t>
    </rPh>
    <rPh sb="4" eb="6">
      <t>シテイ</t>
    </rPh>
    <rPh sb="7" eb="9">
      <t>シュウノウ</t>
    </rPh>
    <rPh sb="9" eb="11">
      <t>ダイリ</t>
    </rPh>
    <rPh sb="12" eb="14">
      <t>キンユウ</t>
    </rPh>
    <rPh sb="14" eb="16">
      <t>キカン</t>
    </rPh>
    <rPh sb="18" eb="21">
      <t>ホッカイドウ</t>
    </rPh>
    <rPh sb="21" eb="23">
      <t>シュウニュウ</t>
    </rPh>
    <rPh sb="23" eb="25">
      <t>トリアツカ</t>
    </rPh>
    <rPh sb="25" eb="26">
      <t>イン</t>
    </rPh>
    <rPh sb="28" eb="30">
      <t>ドウナイ</t>
    </rPh>
    <rPh sb="30" eb="33">
      <t>ユウビンキョク</t>
    </rPh>
    <phoneticPr fontId="6"/>
  </si>
  <si>
    <t>領　収　印</t>
    <rPh sb="0" eb="1">
      <t>リョウ</t>
    </rPh>
    <rPh sb="2" eb="3">
      <t>オサム</t>
    </rPh>
    <rPh sb="4" eb="5">
      <t>イン</t>
    </rPh>
    <phoneticPr fontId="6"/>
  </si>
  <si>
    <t xml:space="preserve"> ◎裏面も必ずお読みください。</t>
    <rPh sb="2" eb="4">
      <t>ウラメン</t>
    </rPh>
    <rPh sb="5" eb="6">
      <t>カナラ</t>
    </rPh>
    <rPh sb="8" eb="9">
      <t>ヨ</t>
    </rPh>
    <phoneticPr fontId="6"/>
  </si>
  <si>
    <t>収入伝票</t>
    <rPh sb="0" eb="2">
      <t>シュウニュウ</t>
    </rPh>
    <rPh sb="2" eb="4">
      <t>デンピョウ</t>
    </rPh>
    <phoneticPr fontId="6"/>
  </si>
  <si>
    <t>受付局・第一次金融機関保存</t>
    <rPh sb="0" eb="2">
      <t>ウケツケ</t>
    </rPh>
    <rPh sb="2" eb="3">
      <t>キョク</t>
    </rPh>
    <rPh sb="4" eb="7">
      <t>ダイイチジ</t>
    </rPh>
    <rPh sb="7" eb="13">
      <t>キンユウキカンホゾン</t>
    </rPh>
    <phoneticPr fontId="6"/>
  </si>
  <si>
    <r>
      <t>　　　</t>
    </r>
    <r>
      <rPr>
        <sz val="8"/>
        <color theme="1"/>
        <rFont val="ＭＳ 明朝"/>
        <family val="1"/>
        <charset val="128"/>
      </rPr>
      <t>とりまとめ金融機関
　　北海道指定金融機関</t>
    </r>
    <r>
      <rPr>
        <sz val="6"/>
        <color theme="1"/>
        <rFont val="ＭＳ 明朝"/>
        <family val="1"/>
        <charset val="128"/>
      </rPr>
      <t xml:space="preserve">
　　　</t>
    </r>
    <r>
      <rPr>
        <sz val="10"/>
        <color theme="1"/>
        <rFont val="ＭＳ 明朝"/>
        <family val="1"/>
        <charset val="128"/>
      </rPr>
      <t>北洋銀行　道庁支店</t>
    </r>
    <rPh sb="8" eb="10">
      <t>キンユウ</t>
    </rPh>
    <rPh sb="10" eb="12">
      <t>キカン</t>
    </rPh>
    <rPh sb="15" eb="18">
      <t>ホッカイドウ</t>
    </rPh>
    <rPh sb="18" eb="20">
      <t>シテイ</t>
    </rPh>
    <rPh sb="20" eb="22">
      <t>キンユウ</t>
    </rPh>
    <rPh sb="22" eb="24">
      <t>キカン</t>
    </rPh>
    <rPh sb="28" eb="30">
      <t>ホクヨウ</t>
    </rPh>
    <rPh sb="30" eb="32">
      <t>ギンコウ</t>
    </rPh>
    <rPh sb="33" eb="35">
      <t>ドウチョウ</t>
    </rPh>
    <rPh sb="35" eb="37">
      <t>シテン</t>
    </rPh>
    <phoneticPr fontId="6"/>
  </si>
  <si>
    <t>口数</t>
    <rPh sb="0" eb="2">
      <t>クチスウ</t>
    </rPh>
    <phoneticPr fontId="6"/>
  </si>
  <si>
    <t>口</t>
    <rPh sb="0" eb="1">
      <t>クチ</t>
    </rPh>
    <phoneticPr fontId="6"/>
  </si>
  <si>
    <t>金　額</t>
    <rPh sb="0" eb="1">
      <t>キン</t>
    </rPh>
    <rPh sb="2" eb="3">
      <t>ガク</t>
    </rPh>
    <phoneticPr fontId="6"/>
  </si>
  <si>
    <t>領収済通知書</t>
    <rPh sb="0" eb="2">
      <t>リョウシュウ</t>
    </rPh>
    <rPh sb="2" eb="3">
      <t>ズ</t>
    </rPh>
    <rPh sb="3" eb="6">
      <t>ツウチショ</t>
    </rPh>
    <phoneticPr fontId="6"/>
  </si>
  <si>
    <t>所属指定金融機関→加入者</t>
    <rPh sb="0" eb="2">
      <t>ショゾク</t>
    </rPh>
    <rPh sb="2" eb="4">
      <t>シテイ</t>
    </rPh>
    <rPh sb="4" eb="6">
      <t>キンユウ</t>
    </rPh>
    <rPh sb="6" eb="8">
      <t>キカン</t>
    </rPh>
    <rPh sb="9" eb="12">
      <t>カニュウシャ</t>
    </rPh>
    <phoneticPr fontId="6"/>
  </si>
  <si>
    <t>通番</t>
    <rPh sb="0" eb="1">
      <t>ツウ</t>
    </rPh>
    <rPh sb="1" eb="2">
      <t>バン</t>
    </rPh>
    <phoneticPr fontId="6"/>
  </si>
  <si>
    <t>期割</t>
    <rPh sb="0" eb="1">
      <t>キ</t>
    </rPh>
    <rPh sb="1" eb="2">
      <t>ワリ</t>
    </rPh>
    <phoneticPr fontId="6"/>
  </si>
  <si>
    <t>種別</t>
    <rPh sb="0" eb="2">
      <t>シュベツ</t>
    </rPh>
    <phoneticPr fontId="6"/>
  </si>
  <si>
    <t>義務者</t>
    <rPh sb="0" eb="3">
      <t>ギムシャ</t>
    </rPh>
    <phoneticPr fontId="6"/>
  </si>
  <si>
    <t>日数</t>
    <rPh sb="0" eb="2">
      <t>ニッスウ</t>
    </rPh>
    <phoneticPr fontId="6"/>
  </si>
  <si>
    <t>金額</t>
    <rPh sb="0" eb="2">
      <t>キンガク</t>
    </rPh>
    <phoneticPr fontId="6"/>
  </si>
  <si>
    <t>上記のとおり領収したので通知します。</t>
    <rPh sb="0" eb="2">
      <t>ジョウキ</t>
    </rPh>
    <rPh sb="6" eb="8">
      <t>リョウシュウ</t>
    </rPh>
    <rPh sb="12" eb="14">
      <t>ツウチ</t>
    </rPh>
    <phoneticPr fontId="6"/>
  </si>
  <si>
    <t>北海道会計管理者　様</t>
    <rPh sb="0" eb="3">
      <t>ホッカイドウ</t>
    </rPh>
    <rPh sb="3" eb="5">
      <t>カイケイ</t>
    </rPh>
    <rPh sb="5" eb="8">
      <t>カンリシャ</t>
    </rPh>
    <rPh sb="9" eb="10">
      <t>サマ</t>
    </rPh>
    <phoneticPr fontId="6"/>
  </si>
  <si>
    <t>04</t>
    <phoneticPr fontId="6"/>
  </si>
  <si>
    <t>公金取りまとめ店</t>
    <rPh sb="0" eb="2">
      <t>コウキン</t>
    </rPh>
    <rPh sb="2" eb="3">
      <t>ト</t>
    </rPh>
    <rPh sb="7" eb="8">
      <t>テン</t>
    </rPh>
    <phoneticPr fontId="6"/>
  </si>
  <si>
    <t>ゆうちょ銀行小樽貯金事務センター</t>
    <rPh sb="4" eb="6">
      <t>ギンコウ</t>
    </rPh>
    <rPh sb="6" eb="8">
      <t>オタル</t>
    </rPh>
    <rPh sb="8" eb="10">
      <t>チョキン</t>
    </rPh>
    <rPh sb="10" eb="12">
      <t>ジム</t>
    </rPh>
    <phoneticPr fontId="6"/>
  </si>
  <si>
    <t>事務所コード一覧（市町村５０音順）</t>
    <rPh sb="0" eb="2">
      <t>ジム</t>
    </rPh>
    <rPh sb="2" eb="3">
      <t>ショ</t>
    </rPh>
    <rPh sb="6" eb="8">
      <t>イチラン</t>
    </rPh>
    <rPh sb="9" eb="12">
      <t>シチョウソン</t>
    </rPh>
    <rPh sb="14" eb="15">
      <t>オン</t>
    </rPh>
    <rPh sb="15" eb="16">
      <t>ジュン</t>
    </rPh>
    <phoneticPr fontId="6"/>
  </si>
  <si>
    <t>「札幌市」と「北海道外」の事務所コードは「２１０」です。</t>
    <phoneticPr fontId="6"/>
  </si>
  <si>
    <t>市町村名</t>
    <rPh sb="0" eb="3">
      <t>シチョウソン</t>
    </rPh>
    <rPh sb="3" eb="4">
      <t>メイ</t>
    </rPh>
    <phoneticPr fontId="6"/>
  </si>
  <si>
    <t>事務所</t>
    <phoneticPr fontId="6"/>
  </si>
  <si>
    <t>かな</t>
    <phoneticPr fontId="6"/>
  </si>
  <si>
    <t>コード</t>
    <phoneticPr fontId="6"/>
  </si>
  <si>
    <t>あ</t>
    <phoneticPr fontId="6"/>
  </si>
  <si>
    <t>愛別町</t>
    <phoneticPr fontId="6"/>
  </si>
  <si>
    <t>あいべつちょう</t>
    <phoneticPr fontId="6"/>
  </si>
  <si>
    <t>０６０</t>
    <phoneticPr fontId="6"/>
  </si>
  <si>
    <t>こ</t>
    <phoneticPr fontId="6"/>
  </si>
  <si>
    <t>小清水町</t>
    <phoneticPr fontId="6"/>
  </si>
  <si>
    <t>こしみずちょう</t>
    <phoneticPr fontId="6"/>
  </si>
  <si>
    <t>０９０</t>
    <phoneticPr fontId="6"/>
  </si>
  <si>
    <t>南幌町</t>
    <phoneticPr fontId="6"/>
  </si>
  <si>
    <t>なんぽろちょう</t>
    <phoneticPr fontId="6"/>
  </si>
  <si>
    <t>０５０</t>
    <phoneticPr fontId="6"/>
  </si>
  <si>
    <t>赤井川村</t>
    <phoneticPr fontId="6"/>
  </si>
  <si>
    <t>あかいがわむら</t>
    <phoneticPr fontId="6"/>
  </si>
  <si>
    <t>０４１</t>
    <phoneticPr fontId="6"/>
  </si>
  <si>
    <t>さ</t>
    <phoneticPr fontId="6"/>
  </si>
  <si>
    <t>札幌市</t>
    <phoneticPr fontId="6"/>
  </si>
  <si>
    <t>さっぽろし</t>
    <phoneticPr fontId="6"/>
  </si>
  <si>
    <t>２１０</t>
    <phoneticPr fontId="6"/>
  </si>
  <si>
    <t>に</t>
    <phoneticPr fontId="6"/>
  </si>
  <si>
    <t>新冠町</t>
    <phoneticPr fontId="6"/>
  </si>
  <si>
    <t>にいかっぷちょう</t>
    <phoneticPr fontId="6"/>
  </si>
  <si>
    <t>１１０</t>
    <phoneticPr fontId="6"/>
  </si>
  <si>
    <t>赤平市</t>
    <phoneticPr fontId="6"/>
  </si>
  <si>
    <t>あかびらし</t>
    <phoneticPr fontId="6"/>
  </si>
  <si>
    <t>様似町</t>
    <phoneticPr fontId="6"/>
  </si>
  <si>
    <t>さまにちょう</t>
    <phoneticPr fontId="6"/>
  </si>
  <si>
    <t>仁木町</t>
    <phoneticPr fontId="6"/>
  </si>
  <si>
    <t>にきちょう</t>
    <phoneticPr fontId="6"/>
  </si>
  <si>
    <t>旭川市</t>
    <phoneticPr fontId="6"/>
  </si>
  <si>
    <t>あさひかわし</t>
    <phoneticPr fontId="6"/>
  </si>
  <si>
    <t>更別村</t>
    <phoneticPr fontId="6"/>
  </si>
  <si>
    <t>さらべつむら</t>
    <phoneticPr fontId="6"/>
  </si>
  <si>
    <t>１２０</t>
    <phoneticPr fontId="6"/>
  </si>
  <si>
    <t>西興部村</t>
    <phoneticPr fontId="6"/>
  </si>
  <si>
    <t>にしおこっぺむら</t>
    <phoneticPr fontId="6"/>
  </si>
  <si>
    <t>０９２</t>
    <phoneticPr fontId="6"/>
  </si>
  <si>
    <t>芦別市</t>
    <phoneticPr fontId="6"/>
  </si>
  <si>
    <t>あしべつし</t>
    <phoneticPr fontId="6"/>
  </si>
  <si>
    <t>猿払村</t>
    <phoneticPr fontId="6"/>
  </si>
  <si>
    <t>さるふつむら</t>
    <phoneticPr fontId="6"/>
  </si>
  <si>
    <t>０８０</t>
    <phoneticPr fontId="6"/>
  </si>
  <si>
    <t>ニセコ町</t>
    <phoneticPr fontId="6"/>
  </si>
  <si>
    <t>にせこちょう</t>
    <phoneticPr fontId="6"/>
  </si>
  <si>
    <t>０４０</t>
    <phoneticPr fontId="6"/>
  </si>
  <si>
    <t>足寄町</t>
    <phoneticPr fontId="6"/>
  </si>
  <si>
    <t>あしょろちょう</t>
    <phoneticPr fontId="6"/>
  </si>
  <si>
    <t>佐呂間町</t>
    <phoneticPr fontId="6"/>
  </si>
  <si>
    <t>さろまちょう</t>
    <phoneticPr fontId="6"/>
  </si>
  <si>
    <t>０９１</t>
    <phoneticPr fontId="6"/>
  </si>
  <si>
    <t>ぬ</t>
    <phoneticPr fontId="6"/>
  </si>
  <si>
    <t>沼田町</t>
    <phoneticPr fontId="6"/>
  </si>
  <si>
    <t>ぬまたちょう</t>
    <phoneticPr fontId="6"/>
  </si>
  <si>
    <t>０５１</t>
    <phoneticPr fontId="6"/>
  </si>
  <si>
    <t>厚岸町</t>
    <phoneticPr fontId="6"/>
  </si>
  <si>
    <t>あっけしちょう</t>
    <phoneticPr fontId="6"/>
  </si>
  <si>
    <t>１３０</t>
    <phoneticPr fontId="6"/>
  </si>
  <si>
    <t>し</t>
    <phoneticPr fontId="6"/>
  </si>
  <si>
    <t>鹿追町</t>
    <phoneticPr fontId="6"/>
  </si>
  <si>
    <t>しかおいちょう</t>
    <phoneticPr fontId="6"/>
  </si>
  <si>
    <t>ね</t>
    <phoneticPr fontId="6"/>
  </si>
  <si>
    <t>根室市</t>
    <phoneticPr fontId="6"/>
  </si>
  <si>
    <t>ねむろし</t>
    <phoneticPr fontId="6"/>
  </si>
  <si>
    <t>１４０</t>
    <phoneticPr fontId="6"/>
  </si>
  <si>
    <t>厚沢部町</t>
    <phoneticPr fontId="6"/>
  </si>
  <si>
    <t>あっさぶちょう</t>
    <phoneticPr fontId="6"/>
  </si>
  <si>
    <t>０３０</t>
    <phoneticPr fontId="6"/>
  </si>
  <si>
    <t>鹿部町</t>
    <phoneticPr fontId="6"/>
  </si>
  <si>
    <t>しかべちょう</t>
    <phoneticPr fontId="6"/>
  </si>
  <si>
    <t>０２０</t>
    <phoneticPr fontId="6"/>
  </si>
  <si>
    <t>の</t>
    <phoneticPr fontId="6"/>
  </si>
  <si>
    <t>登別市</t>
    <phoneticPr fontId="6"/>
  </si>
  <si>
    <t>のぼりべつし</t>
    <phoneticPr fontId="6"/>
  </si>
  <si>
    <t>１００</t>
    <phoneticPr fontId="6"/>
  </si>
  <si>
    <t>厚真町</t>
    <phoneticPr fontId="6"/>
  </si>
  <si>
    <t>あつまちょう</t>
    <phoneticPr fontId="6"/>
  </si>
  <si>
    <t>１０１</t>
    <phoneticPr fontId="6"/>
  </si>
  <si>
    <t>標茶町</t>
    <phoneticPr fontId="6"/>
  </si>
  <si>
    <t>しべちゃちょう</t>
    <phoneticPr fontId="6"/>
  </si>
  <si>
    <t>は</t>
    <phoneticPr fontId="6"/>
  </si>
  <si>
    <t>函館市</t>
    <phoneticPr fontId="6"/>
  </si>
  <si>
    <t>はこだてし</t>
    <phoneticPr fontId="6"/>
  </si>
  <si>
    <t>網走市</t>
    <phoneticPr fontId="6"/>
  </si>
  <si>
    <t>あばしりし</t>
    <phoneticPr fontId="6"/>
  </si>
  <si>
    <t>士別市</t>
    <phoneticPr fontId="6"/>
  </si>
  <si>
    <t>しべつし</t>
    <phoneticPr fontId="6"/>
  </si>
  <si>
    <t>０６１</t>
    <phoneticPr fontId="6"/>
  </si>
  <si>
    <t>羽幌町</t>
    <phoneticPr fontId="6"/>
  </si>
  <si>
    <t>はぼろちょう</t>
    <phoneticPr fontId="6"/>
  </si>
  <si>
    <t>０７０</t>
    <phoneticPr fontId="6"/>
  </si>
  <si>
    <t>安平町</t>
    <phoneticPr fontId="6"/>
  </si>
  <si>
    <t>あびらちょう</t>
    <phoneticPr fontId="6"/>
  </si>
  <si>
    <t>標津町</t>
    <phoneticPr fontId="6"/>
  </si>
  <si>
    <t>しべつちょう</t>
    <phoneticPr fontId="6"/>
  </si>
  <si>
    <t>浜頓別町</t>
    <phoneticPr fontId="6"/>
  </si>
  <si>
    <t>はまとんべつちょう</t>
    <phoneticPr fontId="6"/>
  </si>
  <si>
    <t>い</t>
    <phoneticPr fontId="6"/>
  </si>
  <si>
    <t>池田町</t>
    <phoneticPr fontId="6"/>
  </si>
  <si>
    <t>いけだちょう</t>
    <phoneticPr fontId="6"/>
  </si>
  <si>
    <t>士幌町</t>
    <phoneticPr fontId="6"/>
  </si>
  <si>
    <t>しほろちょう</t>
    <phoneticPr fontId="6"/>
  </si>
  <si>
    <t>浜中町</t>
    <phoneticPr fontId="6"/>
  </si>
  <si>
    <t>はまなかちょう</t>
    <phoneticPr fontId="6"/>
  </si>
  <si>
    <t>石狩市</t>
    <phoneticPr fontId="6"/>
  </si>
  <si>
    <t>いしかりし</t>
    <phoneticPr fontId="6"/>
  </si>
  <si>
    <t>０１０</t>
    <phoneticPr fontId="6"/>
  </si>
  <si>
    <t>島牧村</t>
    <phoneticPr fontId="6"/>
  </si>
  <si>
    <t>しままきむら</t>
    <phoneticPr fontId="6"/>
  </si>
  <si>
    <t>ひ</t>
    <phoneticPr fontId="6"/>
  </si>
  <si>
    <t>美瑛町</t>
    <phoneticPr fontId="6"/>
  </si>
  <si>
    <t>びえいちょう</t>
    <phoneticPr fontId="6"/>
  </si>
  <si>
    <t>今金町</t>
    <phoneticPr fontId="6"/>
  </si>
  <si>
    <t>いまかねちょう</t>
    <phoneticPr fontId="6"/>
  </si>
  <si>
    <t>清水町</t>
    <phoneticPr fontId="6"/>
  </si>
  <si>
    <t>しみずちょう</t>
    <phoneticPr fontId="6"/>
  </si>
  <si>
    <t>東神楽町</t>
    <phoneticPr fontId="6"/>
  </si>
  <si>
    <t>ひがしかぐらちょう</t>
    <phoneticPr fontId="6"/>
  </si>
  <si>
    <t>岩内町</t>
    <phoneticPr fontId="6"/>
  </si>
  <si>
    <t>いわないちょう</t>
    <phoneticPr fontId="6"/>
  </si>
  <si>
    <t>占冠村</t>
    <phoneticPr fontId="6"/>
  </si>
  <si>
    <t>しむかっぷむら</t>
    <phoneticPr fontId="6"/>
  </si>
  <si>
    <t>東川町</t>
    <phoneticPr fontId="6"/>
  </si>
  <si>
    <t>ひがしかわちょう</t>
    <phoneticPr fontId="6"/>
  </si>
  <si>
    <t>岩見沢市</t>
    <phoneticPr fontId="6"/>
  </si>
  <si>
    <t>いわみざわし</t>
    <phoneticPr fontId="6"/>
  </si>
  <si>
    <t>下川町</t>
    <phoneticPr fontId="6"/>
  </si>
  <si>
    <t>しもかわちょう</t>
    <phoneticPr fontId="6"/>
  </si>
  <si>
    <t>日高町</t>
    <phoneticPr fontId="6"/>
  </si>
  <si>
    <t>ひだかちょう</t>
    <phoneticPr fontId="6"/>
  </si>
  <si>
    <t>う</t>
    <phoneticPr fontId="6"/>
  </si>
  <si>
    <t>歌志内市</t>
    <phoneticPr fontId="6"/>
  </si>
  <si>
    <t>うたしないし</t>
    <phoneticPr fontId="6"/>
  </si>
  <si>
    <t>積丹町</t>
    <phoneticPr fontId="6"/>
  </si>
  <si>
    <t>しゃこたんちょう</t>
    <phoneticPr fontId="6"/>
  </si>
  <si>
    <t>比布町</t>
    <phoneticPr fontId="6"/>
  </si>
  <si>
    <t>ぴっぷちょう</t>
    <phoneticPr fontId="6"/>
  </si>
  <si>
    <t>浦臼町</t>
    <phoneticPr fontId="6"/>
  </si>
  <si>
    <t>うらうすちょう</t>
    <phoneticPr fontId="6"/>
  </si>
  <si>
    <t>斜里町</t>
    <phoneticPr fontId="6"/>
  </si>
  <si>
    <t>しゃりちょう</t>
    <phoneticPr fontId="6"/>
  </si>
  <si>
    <t>美唄市</t>
    <phoneticPr fontId="6"/>
  </si>
  <si>
    <t>びばいし</t>
    <phoneticPr fontId="6"/>
  </si>
  <si>
    <t>浦河町</t>
    <phoneticPr fontId="6"/>
  </si>
  <si>
    <t>うらかわちょう</t>
    <phoneticPr fontId="6"/>
  </si>
  <si>
    <t>初山別村</t>
    <phoneticPr fontId="6"/>
  </si>
  <si>
    <t>しょさんべつむら</t>
    <phoneticPr fontId="6"/>
  </si>
  <si>
    <t>美深町</t>
    <phoneticPr fontId="6"/>
  </si>
  <si>
    <t>びふかちょう</t>
    <phoneticPr fontId="6"/>
  </si>
  <si>
    <t>浦幌町</t>
    <phoneticPr fontId="6"/>
  </si>
  <si>
    <t>うらほろちょう</t>
    <phoneticPr fontId="6"/>
  </si>
  <si>
    <t>白老町</t>
    <phoneticPr fontId="6"/>
  </si>
  <si>
    <t>しらおいちょう</t>
    <phoneticPr fontId="6"/>
  </si>
  <si>
    <t>美幌町</t>
    <phoneticPr fontId="6"/>
  </si>
  <si>
    <t>びほろちょう</t>
    <phoneticPr fontId="6"/>
  </si>
  <si>
    <t>雨竜町</t>
    <phoneticPr fontId="6"/>
  </si>
  <si>
    <t>うりゅうちょう</t>
    <phoneticPr fontId="6"/>
  </si>
  <si>
    <t>白糠町</t>
    <phoneticPr fontId="6"/>
  </si>
  <si>
    <t>しらぬかちょう</t>
    <phoneticPr fontId="6"/>
  </si>
  <si>
    <t>平取町</t>
    <phoneticPr fontId="6"/>
  </si>
  <si>
    <t>びらとりちょう</t>
    <phoneticPr fontId="6"/>
  </si>
  <si>
    <t>え</t>
    <phoneticPr fontId="6"/>
  </si>
  <si>
    <t>江差町</t>
    <phoneticPr fontId="6"/>
  </si>
  <si>
    <t>えさしちょう</t>
    <phoneticPr fontId="6"/>
  </si>
  <si>
    <t>知内町</t>
    <phoneticPr fontId="6"/>
  </si>
  <si>
    <t>しりうちちょう</t>
    <phoneticPr fontId="6"/>
  </si>
  <si>
    <t>広尾町</t>
    <phoneticPr fontId="6"/>
  </si>
  <si>
    <t>ひろおちょう</t>
    <phoneticPr fontId="6"/>
  </si>
  <si>
    <t>枝幸町</t>
    <phoneticPr fontId="6"/>
  </si>
  <si>
    <t>新篠津村</t>
    <phoneticPr fontId="6"/>
  </si>
  <si>
    <t>しんしのつむら</t>
    <phoneticPr fontId="6"/>
  </si>
  <si>
    <t>ふ</t>
    <phoneticPr fontId="6"/>
  </si>
  <si>
    <t>深川市</t>
    <phoneticPr fontId="6"/>
  </si>
  <si>
    <t>ふかがわし</t>
    <phoneticPr fontId="6"/>
  </si>
  <si>
    <t>恵庭市</t>
    <phoneticPr fontId="6"/>
  </si>
  <si>
    <t>えにわし</t>
    <phoneticPr fontId="6"/>
  </si>
  <si>
    <t>新得町</t>
    <phoneticPr fontId="6"/>
  </si>
  <si>
    <t>しんとくちょう</t>
    <phoneticPr fontId="6"/>
  </si>
  <si>
    <t>福島町</t>
    <phoneticPr fontId="6"/>
  </si>
  <si>
    <t>ふくしまちょう</t>
    <phoneticPr fontId="6"/>
  </si>
  <si>
    <t>江別市</t>
    <phoneticPr fontId="6"/>
  </si>
  <si>
    <t>えべつし</t>
    <phoneticPr fontId="6"/>
  </si>
  <si>
    <t>新十津川町</t>
  </si>
  <si>
    <t>しんとつかわちょう</t>
    <phoneticPr fontId="6"/>
  </si>
  <si>
    <t>富良野市</t>
    <phoneticPr fontId="6"/>
  </si>
  <si>
    <t>ふらのし</t>
    <phoneticPr fontId="6"/>
  </si>
  <si>
    <t>えりも町</t>
    <phoneticPr fontId="6"/>
  </si>
  <si>
    <t>えりもちょう</t>
    <phoneticPr fontId="6"/>
  </si>
  <si>
    <t>新ひだか町</t>
    <phoneticPr fontId="6"/>
  </si>
  <si>
    <t>しんひだかちょう</t>
    <phoneticPr fontId="6"/>
  </si>
  <si>
    <t>古平町</t>
    <phoneticPr fontId="6"/>
  </si>
  <si>
    <t>ふるびらちょう</t>
    <phoneticPr fontId="6"/>
  </si>
  <si>
    <t>遠軽町</t>
    <phoneticPr fontId="6"/>
  </si>
  <si>
    <t>えんがるちょう</t>
    <phoneticPr fontId="6"/>
  </si>
  <si>
    <t>す</t>
    <phoneticPr fontId="6"/>
  </si>
  <si>
    <t>寿都町</t>
    <phoneticPr fontId="6"/>
  </si>
  <si>
    <t>すっつちょう</t>
    <phoneticPr fontId="6"/>
  </si>
  <si>
    <t>へ</t>
    <phoneticPr fontId="6"/>
  </si>
  <si>
    <t>別海町</t>
    <phoneticPr fontId="6"/>
  </si>
  <si>
    <t>べつかいちょう</t>
    <phoneticPr fontId="6"/>
  </si>
  <si>
    <t>遠別町</t>
    <phoneticPr fontId="6"/>
  </si>
  <si>
    <t>えんべつちょう</t>
    <phoneticPr fontId="6"/>
  </si>
  <si>
    <t>砂川市</t>
    <phoneticPr fontId="6"/>
  </si>
  <si>
    <t>すながわし</t>
    <phoneticPr fontId="6"/>
  </si>
  <si>
    <t>ほ</t>
    <phoneticPr fontId="6"/>
  </si>
  <si>
    <t>北斗市</t>
    <phoneticPr fontId="6"/>
  </si>
  <si>
    <t>ほくとし</t>
    <phoneticPr fontId="6"/>
  </si>
  <si>
    <t>お</t>
    <phoneticPr fontId="6"/>
  </si>
  <si>
    <t>雄武町</t>
    <phoneticPr fontId="6"/>
  </si>
  <si>
    <t>おうむちょう</t>
    <phoneticPr fontId="6"/>
  </si>
  <si>
    <t>せ</t>
    <phoneticPr fontId="6"/>
  </si>
  <si>
    <t>せたな町</t>
    <phoneticPr fontId="6"/>
  </si>
  <si>
    <t>せたなちょう</t>
    <phoneticPr fontId="6"/>
  </si>
  <si>
    <t>北竜町</t>
    <phoneticPr fontId="6"/>
  </si>
  <si>
    <t>ほくりゅうちょう</t>
    <phoneticPr fontId="6"/>
  </si>
  <si>
    <t>大空町</t>
    <phoneticPr fontId="6"/>
  </si>
  <si>
    <t>おおぞらちょう</t>
    <phoneticPr fontId="6"/>
  </si>
  <si>
    <t>そ</t>
    <phoneticPr fontId="6"/>
  </si>
  <si>
    <t>壮瞥町</t>
    <phoneticPr fontId="6"/>
  </si>
  <si>
    <t>そうべつちょう</t>
    <phoneticPr fontId="6"/>
  </si>
  <si>
    <t>幌加内町</t>
    <phoneticPr fontId="6"/>
  </si>
  <si>
    <t>ほろかないちょう</t>
    <phoneticPr fontId="6"/>
  </si>
  <si>
    <t>奥尻町</t>
    <phoneticPr fontId="6"/>
  </si>
  <si>
    <t>おくしりちょう</t>
    <phoneticPr fontId="6"/>
  </si>
  <si>
    <t>た</t>
    <phoneticPr fontId="6"/>
  </si>
  <si>
    <t>大樹町</t>
    <phoneticPr fontId="6"/>
  </si>
  <si>
    <t>たいきちょう</t>
    <phoneticPr fontId="6"/>
  </si>
  <si>
    <t>幌延町</t>
    <phoneticPr fontId="6"/>
  </si>
  <si>
    <t>ほろのべちょう</t>
    <phoneticPr fontId="6"/>
  </si>
  <si>
    <t>置戸町</t>
    <phoneticPr fontId="6"/>
  </si>
  <si>
    <t>おけとちょう</t>
    <phoneticPr fontId="6"/>
  </si>
  <si>
    <t>鷹栖町</t>
    <phoneticPr fontId="6"/>
  </si>
  <si>
    <t>たかすちょう</t>
    <phoneticPr fontId="6"/>
  </si>
  <si>
    <t>本別町</t>
    <phoneticPr fontId="6"/>
  </si>
  <si>
    <t>ほんべつちょう</t>
    <phoneticPr fontId="6"/>
  </si>
  <si>
    <t>興部町</t>
    <phoneticPr fontId="6"/>
  </si>
  <si>
    <t>おこっぺちょう</t>
    <phoneticPr fontId="6"/>
  </si>
  <si>
    <t>滝川市</t>
    <phoneticPr fontId="6"/>
  </si>
  <si>
    <t>たきかわし</t>
    <phoneticPr fontId="6"/>
  </si>
  <si>
    <t>ま</t>
    <phoneticPr fontId="6"/>
  </si>
  <si>
    <t>幕別町</t>
    <phoneticPr fontId="6"/>
  </si>
  <si>
    <t>まくべつちょう</t>
    <phoneticPr fontId="6"/>
  </si>
  <si>
    <t>長万部町</t>
    <phoneticPr fontId="6"/>
  </si>
  <si>
    <t>おしゃまんべちょう</t>
    <phoneticPr fontId="6"/>
  </si>
  <si>
    <t>滝上町</t>
    <phoneticPr fontId="6"/>
  </si>
  <si>
    <t>たきのうえちょう</t>
    <phoneticPr fontId="6"/>
  </si>
  <si>
    <t>増毛町</t>
    <phoneticPr fontId="6"/>
  </si>
  <si>
    <t>ましけちょう</t>
    <phoneticPr fontId="6"/>
  </si>
  <si>
    <t>小樽市</t>
    <phoneticPr fontId="6"/>
  </si>
  <si>
    <t>おたるし</t>
    <phoneticPr fontId="6"/>
  </si>
  <si>
    <t>伊達市</t>
    <phoneticPr fontId="6"/>
  </si>
  <si>
    <t>だてし</t>
    <phoneticPr fontId="6"/>
  </si>
  <si>
    <t>真狩村</t>
    <phoneticPr fontId="6"/>
  </si>
  <si>
    <t>まっかりむら</t>
    <phoneticPr fontId="6"/>
  </si>
  <si>
    <t>音威子府村</t>
    <phoneticPr fontId="6"/>
  </si>
  <si>
    <t>おといねっぷむら</t>
    <phoneticPr fontId="6"/>
  </si>
  <si>
    <t>ち</t>
    <phoneticPr fontId="6"/>
  </si>
  <si>
    <t>秩父別町</t>
    <phoneticPr fontId="6"/>
  </si>
  <si>
    <t>ちっぷべつちょう</t>
    <phoneticPr fontId="6"/>
  </si>
  <si>
    <t>松前町</t>
    <phoneticPr fontId="6"/>
  </si>
  <si>
    <t>まつまえちょう</t>
    <phoneticPr fontId="6"/>
  </si>
  <si>
    <t>音更町</t>
    <phoneticPr fontId="6"/>
  </si>
  <si>
    <t>おとふけちょう</t>
    <phoneticPr fontId="6"/>
  </si>
  <si>
    <t>千歳市</t>
    <phoneticPr fontId="6"/>
  </si>
  <si>
    <t>ちとせし</t>
    <phoneticPr fontId="6"/>
  </si>
  <si>
    <t>み</t>
    <phoneticPr fontId="6"/>
  </si>
  <si>
    <t>三笠市</t>
    <phoneticPr fontId="6"/>
  </si>
  <si>
    <t>みかさし</t>
    <phoneticPr fontId="6"/>
  </si>
  <si>
    <t>乙部町</t>
    <phoneticPr fontId="6"/>
  </si>
  <si>
    <t>おとべちょう</t>
    <phoneticPr fontId="6"/>
  </si>
  <si>
    <t>つ</t>
    <phoneticPr fontId="6"/>
  </si>
  <si>
    <t>月形町</t>
    <phoneticPr fontId="6"/>
  </si>
  <si>
    <t>つきがたちょう</t>
    <phoneticPr fontId="6"/>
  </si>
  <si>
    <t>南富良野町</t>
    <phoneticPr fontId="6"/>
  </si>
  <si>
    <t>みなみふらのちょう</t>
    <phoneticPr fontId="6"/>
  </si>
  <si>
    <t>帯広市</t>
    <phoneticPr fontId="6"/>
  </si>
  <si>
    <t>おびひろし</t>
    <phoneticPr fontId="6"/>
  </si>
  <si>
    <t>津別町</t>
    <phoneticPr fontId="6"/>
  </si>
  <si>
    <t>つべつちょう</t>
    <phoneticPr fontId="6"/>
  </si>
  <si>
    <t>む</t>
    <phoneticPr fontId="6"/>
  </si>
  <si>
    <t>むかわ町</t>
    <phoneticPr fontId="6"/>
  </si>
  <si>
    <t>むかわちょう</t>
    <phoneticPr fontId="6"/>
  </si>
  <si>
    <t>小平町</t>
    <phoneticPr fontId="6"/>
  </si>
  <si>
    <t>おびらちょう</t>
    <phoneticPr fontId="6"/>
  </si>
  <si>
    <t>鶴居村</t>
    <phoneticPr fontId="6"/>
  </si>
  <si>
    <t>つるいむら</t>
    <phoneticPr fontId="6"/>
  </si>
  <si>
    <t>室蘭市</t>
    <phoneticPr fontId="6"/>
  </si>
  <si>
    <t>むろらんし</t>
    <phoneticPr fontId="6"/>
  </si>
  <si>
    <t>か</t>
    <phoneticPr fontId="6"/>
  </si>
  <si>
    <t>上川町</t>
    <phoneticPr fontId="6"/>
  </si>
  <si>
    <t>かみかわちょう</t>
    <phoneticPr fontId="6"/>
  </si>
  <si>
    <t>て</t>
    <phoneticPr fontId="6"/>
  </si>
  <si>
    <t>天塩町</t>
    <phoneticPr fontId="6"/>
  </si>
  <si>
    <t>てしおちょう</t>
    <phoneticPr fontId="6"/>
  </si>
  <si>
    <t>め</t>
    <phoneticPr fontId="6"/>
  </si>
  <si>
    <t>芽室町</t>
    <phoneticPr fontId="6"/>
  </si>
  <si>
    <t>めむろちょう</t>
    <phoneticPr fontId="6"/>
  </si>
  <si>
    <t>上士幌町</t>
    <phoneticPr fontId="6"/>
  </si>
  <si>
    <t>かみしほろちょう</t>
    <phoneticPr fontId="6"/>
  </si>
  <si>
    <t>弟子屈町</t>
    <phoneticPr fontId="6"/>
  </si>
  <si>
    <t>てしかがちょう</t>
    <phoneticPr fontId="6"/>
  </si>
  <si>
    <t>も</t>
    <phoneticPr fontId="6"/>
  </si>
  <si>
    <t>妹背牛町</t>
    <phoneticPr fontId="6"/>
  </si>
  <si>
    <t>もせうしちょう</t>
    <phoneticPr fontId="6"/>
  </si>
  <si>
    <t>上砂川町</t>
    <phoneticPr fontId="6"/>
  </si>
  <si>
    <t>かみすながわちょう</t>
    <phoneticPr fontId="6"/>
  </si>
  <si>
    <t>と</t>
    <phoneticPr fontId="6"/>
  </si>
  <si>
    <t>当別町</t>
    <phoneticPr fontId="6"/>
  </si>
  <si>
    <t>とうべつちょう</t>
    <phoneticPr fontId="6"/>
  </si>
  <si>
    <t>森町</t>
    <phoneticPr fontId="6"/>
  </si>
  <si>
    <t>もりまち</t>
    <phoneticPr fontId="6"/>
  </si>
  <si>
    <t>上ノ国町</t>
    <phoneticPr fontId="6"/>
  </si>
  <si>
    <t>かみのくにちょう</t>
    <phoneticPr fontId="6"/>
  </si>
  <si>
    <t>当麻町</t>
    <phoneticPr fontId="6"/>
  </si>
  <si>
    <t>とうまちょう</t>
    <phoneticPr fontId="6"/>
  </si>
  <si>
    <t>紋別市</t>
    <phoneticPr fontId="6"/>
  </si>
  <si>
    <t>もんべつし</t>
    <phoneticPr fontId="6"/>
  </si>
  <si>
    <t>上富良野町</t>
    <phoneticPr fontId="6"/>
  </si>
  <si>
    <t>かみふらのちょう</t>
    <phoneticPr fontId="6"/>
  </si>
  <si>
    <t>洞爺湖町</t>
    <phoneticPr fontId="6"/>
  </si>
  <si>
    <t>とうやこちょう</t>
    <phoneticPr fontId="6"/>
  </si>
  <si>
    <t>や</t>
    <phoneticPr fontId="6"/>
  </si>
  <si>
    <t>八雲町</t>
    <phoneticPr fontId="6"/>
  </si>
  <si>
    <t>やくもちょう</t>
    <phoneticPr fontId="6"/>
  </si>
  <si>
    <t>神恵内村</t>
    <phoneticPr fontId="6"/>
  </si>
  <si>
    <t>かもえないむら</t>
    <phoneticPr fontId="6"/>
  </si>
  <si>
    <t>苫小牧市</t>
    <phoneticPr fontId="6"/>
  </si>
  <si>
    <t>とまこまいし</t>
    <phoneticPr fontId="6"/>
  </si>
  <si>
    <t>ゆ</t>
    <phoneticPr fontId="6"/>
  </si>
  <si>
    <t>夕張市</t>
    <phoneticPr fontId="6"/>
  </si>
  <si>
    <t>ゆうばりし</t>
    <phoneticPr fontId="6"/>
  </si>
  <si>
    <t>き</t>
    <phoneticPr fontId="6"/>
  </si>
  <si>
    <t>木古内町</t>
    <phoneticPr fontId="6"/>
  </si>
  <si>
    <t>きこないちょう</t>
    <phoneticPr fontId="6"/>
  </si>
  <si>
    <t>苫前町</t>
    <phoneticPr fontId="6"/>
  </si>
  <si>
    <t>とままえちょう</t>
    <phoneticPr fontId="6"/>
  </si>
  <si>
    <t>湧別町</t>
    <phoneticPr fontId="6"/>
  </si>
  <si>
    <t>ゆうべつちょう</t>
    <phoneticPr fontId="6"/>
  </si>
  <si>
    <t>北広島市</t>
    <phoneticPr fontId="6"/>
  </si>
  <si>
    <t>きたひろしまし</t>
    <phoneticPr fontId="6"/>
  </si>
  <si>
    <t>泊村</t>
    <phoneticPr fontId="6"/>
  </si>
  <si>
    <t>とまりむら</t>
    <phoneticPr fontId="6"/>
  </si>
  <si>
    <t>由仁町</t>
    <phoneticPr fontId="6"/>
  </si>
  <si>
    <t>ゆにちょう</t>
    <phoneticPr fontId="6"/>
  </si>
  <si>
    <t>北見市</t>
    <phoneticPr fontId="6"/>
  </si>
  <si>
    <t>きたみし</t>
    <phoneticPr fontId="6"/>
  </si>
  <si>
    <t>豊浦町</t>
    <phoneticPr fontId="6"/>
  </si>
  <si>
    <t>とようらちょう</t>
    <phoneticPr fontId="6"/>
  </si>
  <si>
    <t>よ</t>
    <phoneticPr fontId="6"/>
  </si>
  <si>
    <t>余市町</t>
    <phoneticPr fontId="6"/>
  </si>
  <si>
    <t>よいちちょう</t>
    <phoneticPr fontId="6"/>
  </si>
  <si>
    <t>喜茂別町</t>
    <phoneticPr fontId="6"/>
  </si>
  <si>
    <t>きもべつちょう</t>
    <phoneticPr fontId="6"/>
  </si>
  <si>
    <t>豊頃町</t>
    <phoneticPr fontId="6"/>
  </si>
  <si>
    <t>とよころちょう</t>
    <phoneticPr fontId="6"/>
  </si>
  <si>
    <t>ら</t>
    <phoneticPr fontId="6"/>
  </si>
  <si>
    <t>羅臼町</t>
    <phoneticPr fontId="6"/>
  </si>
  <si>
    <t>らうすちょう</t>
    <phoneticPr fontId="6"/>
  </si>
  <si>
    <t>京極町</t>
    <phoneticPr fontId="6"/>
  </si>
  <si>
    <t>きょうごくちょう</t>
    <phoneticPr fontId="6"/>
  </si>
  <si>
    <t>豊富町</t>
    <phoneticPr fontId="6"/>
  </si>
  <si>
    <t>とよとみちょう</t>
    <phoneticPr fontId="6"/>
  </si>
  <si>
    <t>蘭越町</t>
    <phoneticPr fontId="6"/>
  </si>
  <si>
    <t>らんこしちょう</t>
    <phoneticPr fontId="6"/>
  </si>
  <si>
    <t>共和町</t>
    <phoneticPr fontId="6"/>
  </si>
  <si>
    <t>きょうわちょう</t>
    <phoneticPr fontId="6"/>
  </si>
  <si>
    <t>な</t>
    <phoneticPr fontId="6"/>
  </si>
  <si>
    <t>奈井江町</t>
    <phoneticPr fontId="6"/>
  </si>
  <si>
    <t>ないえちょう</t>
    <phoneticPr fontId="6"/>
  </si>
  <si>
    <t>り</t>
    <phoneticPr fontId="6"/>
  </si>
  <si>
    <t>陸別町</t>
    <phoneticPr fontId="6"/>
  </si>
  <si>
    <t>りくべつちょう</t>
    <phoneticPr fontId="6"/>
  </si>
  <si>
    <t>清里町</t>
    <phoneticPr fontId="6"/>
  </si>
  <si>
    <t>きよさとちょう</t>
    <phoneticPr fontId="6"/>
  </si>
  <si>
    <t>中川町</t>
    <phoneticPr fontId="6"/>
  </si>
  <si>
    <t>なかがわちょう</t>
    <phoneticPr fontId="6"/>
  </si>
  <si>
    <t>利尻町</t>
    <phoneticPr fontId="6"/>
  </si>
  <si>
    <t>りしりちょう</t>
    <phoneticPr fontId="6"/>
  </si>
  <si>
    <t>く</t>
    <phoneticPr fontId="6"/>
  </si>
  <si>
    <t>釧路市</t>
    <phoneticPr fontId="6"/>
  </si>
  <si>
    <t>くしろし</t>
    <phoneticPr fontId="6"/>
  </si>
  <si>
    <t>中札内村</t>
    <phoneticPr fontId="6"/>
  </si>
  <si>
    <t>なかさつないむら</t>
    <phoneticPr fontId="6"/>
  </si>
  <si>
    <t>利尻富士町</t>
    <phoneticPr fontId="6"/>
  </si>
  <si>
    <t>りしりふじちょう</t>
    <phoneticPr fontId="6"/>
  </si>
  <si>
    <t>釧路町</t>
    <phoneticPr fontId="6"/>
  </si>
  <si>
    <t>くしろちょう</t>
    <phoneticPr fontId="6"/>
  </si>
  <si>
    <t>中標津町</t>
    <phoneticPr fontId="6"/>
  </si>
  <si>
    <t>なかしべつちょう</t>
    <phoneticPr fontId="6"/>
  </si>
  <si>
    <t>る</t>
    <phoneticPr fontId="6"/>
  </si>
  <si>
    <t>留寿都村</t>
    <phoneticPr fontId="6"/>
  </si>
  <si>
    <t>るすつむら</t>
    <phoneticPr fontId="6"/>
  </si>
  <si>
    <t>倶知安町</t>
    <phoneticPr fontId="6"/>
  </si>
  <si>
    <t>くっちゃんちょう</t>
    <phoneticPr fontId="6"/>
  </si>
  <si>
    <t>中頓別町</t>
    <phoneticPr fontId="6"/>
  </si>
  <si>
    <t>なかとんべつちょう</t>
    <phoneticPr fontId="6"/>
  </si>
  <si>
    <t>留萌市</t>
    <phoneticPr fontId="6"/>
  </si>
  <si>
    <t>るもいし</t>
    <phoneticPr fontId="6"/>
  </si>
  <si>
    <t>栗山町</t>
    <phoneticPr fontId="6"/>
  </si>
  <si>
    <t>くりやまちょう</t>
    <phoneticPr fontId="6"/>
  </si>
  <si>
    <t>長沼町</t>
    <phoneticPr fontId="6"/>
  </si>
  <si>
    <t>ながぬまちょう</t>
    <phoneticPr fontId="6"/>
  </si>
  <si>
    <t>れ</t>
    <phoneticPr fontId="6"/>
  </si>
  <si>
    <t>礼文町</t>
    <phoneticPr fontId="6"/>
  </si>
  <si>
    <t>れぶんちょう</t>
    <phoneticPr fontId="6"/>
  </si>
  <si>
    <t>黒松内町</t>
    <phoneticPr fontId="6"/>
  </si>
  <si>
    <t>くろまつないちょう</t>
    <phoneticPr fontId="6"/>
  </si>
  <si>
    <t>中富良野町</t>
    <phoneticPr fontId="6"/>
  </si>
  <si>
    <t>なかふらのちょう</t>
    <phoneticPr fontId="6"/>
  </si>
  <si>
    <t>わ</t>
    <phoneticPr fontId="6"/>
  </si>
  <si>
    <t>稚内市</t>
    <phoneticPr fontId="6"/>
  </si>
  <si>
    <t>わっかないし</t>
    <phoneticPr fontId="6"/>
  </si>
  <si>
    <t>訓子府町</t>
    <phoneticPr fontId="6"/>
  </si>
  <si>
    <t>くんねっぷちょう</t>
    <phoneticPr fontId="6"/>
  </si>
  <si>
    <t>七飯町</t>
    <phoneticPr fontId="6"/>
  </si>
  <si>
    <t>ななえちょう</t>
    <phoneticPr fontId="6"/>
  </si>
  <si>
    <t>和寒町</t>
    <phoneticPr fontId="6"/>
  </si>
  <si>
    <t>わっさむちょう</t>
    <phoneticPr fontId="6"/>
  </si>
  <si>
    <t>け</t>
    <phoneticPr fontId="6"/>
  </si>
  <si>
    <t>剣淵町</t>
    <phoneticPr fontId="6"/>
  </si>
  <si>
    <t>けんぶちちょう</t>
    <phoneticPr fontId="6"/>
  </si>
  <si>
    <t>名寄市</t>
    <phoneticPr fontId="6"/>
  </si>
  <si>
    <t>なよろし</t>
    <phoneticPr fontId="6"/>
  </si>
  <si>
    <t>他</t>
    <rPh sb="0" eb="1">
      <t>ホカ</t>
    </rPh>
    <phoneticPr fontId="6"/>
  </si>
  <si>
    <t>北海道外</t>
    <rPh sb="0" eb="2">
      <t>ホッカイ</t>
    </rPh>
    <rPh sb="2" eb="3">
      <t>ドウ</t>
    </rPh>
    <rPh sb="3" eb="4">
      <t>ガイ</t>
    </rPh>
    <phoneticPr fontId="6"/>
  </si>
  <si>
    <t>事務所コード一覧（コード順）</t>
    <rPh sb="0" eb="2">
      <t>ジム</t>
    </rPh>
    <rPh sb="2" eb="3">
      <t>ショ</t>
    </rPh>
    <rPh sb="6" eb="8">
      <t>イチラン</t>
    </rPh>
    <rPh sb="12" eb="13">
      <t>ジュン</t>
    </rPh>
    <phoneticPr fontId="6"/>
  </si>
  <si>
    <t>事務所
コード</t>
    <rPh sb="0" eb="2">
      <t>ジム</t>
    </rPh>
    <rPh sb="2" eb="3">
      <t>ショ</t>
    </rPh>
    <phoneticPr fontId="6"/>
  </si>
  <si>
    <t>事務所名</t>
    <rPh sb="0" eb="2">
      <t>ジム</t>
    </rPh>
    <rPh sb="2" eb="3">
      <t>ショ</t>
    </rPh>
    <rPh sb="3" eb="4">
      <t>メイ</t>
    </rPh>
    <phoneticPr fontId="6"/>
  </si>
  <si>
    <t>札幌道税事務所</t>
    <rPh sb="0" eb="2">
      <t>サッポロ</t>
    </rPh>
    <rPh sb="2" eb="4">
      <t>ドウゼイ</t>
    </rPh>
    <rPh sb="4" eb="6">
      <t>ジム</t>
    </rPh>
    <rPh sb="6" eb="7">
      <t>ショ</t>
    </rPh>
    <phoneticPr fontId="6"/>
  </si>
  <si>
    <t>札幌市、北海道外</t>
    <rPh sb="0" eb="3">
      <t>サッポロシ</t>
    </rPh>
    <rPh sb="4" eb="6">
      <t>ホッカイ</t>
    </rPh>
    <rPh sb="6" eb="7">
      <t>ドウ</t>
    </rPh>
    <rPh sb="7" eb="8">
      <t>ガイ</t>
    </rPh>
    <phoneticPr fontId="6"/>
  </si>
  <si>
    <t>石狩振興局</t>
    <rPh sb="0" eb="2">
      <t>イシカリ</t>
    </rPh>
    <rPh sb="2" eb="5">
      <t>シンコウキョク</t>
    </rPh>
    <phoneticPr fontId="1"/>
  </si>
  <si>
    <t>石狩振興局</t>
    <rPh sb="0" eb="2">
      <t>イシカリ</t>
    </rPh>
    <rPh sb="2" eb="5">
      <t>シンコウキョク</t>
    </rPh>
    <phoneticPr fontId="6"/>
  </si>
  <si>
    <t>江別市、千歳市、恵庭市、北広島市、石狩市、当別町、新篠津村</t>
    <phoneticPr fontId="6"/>
  </si>
  <si>
    <t>渡島総合振興局</t>
    <rPh sb="0" eb="2">
      <t>オシマ</t>
    </rPh>
    <rPh sb="2" eb="4">
      <t>ソウゴウ</t>
    </rPh>
    <rPh sb="4" eb="7">
      <t>シンコウキョク</t>
    </rPh>
    <phoneticPr fontId="1"/>
  </si>
  <si>
    <t>渡島総合振興局</t>
    <rPh sb="0" eb="2">
      <t>オシマ</t>
    </rPh>
    <rPh sb="2" eb="4">
      <t>ソウゴウ</t>
    </rPh>
    <rPh sb="4" eb="7">
      <t>シンコウキョク</t>
    </rPh>
    <phoneticPr fontId="6"/>
  </si>
  <si>
    <t>函館市、北斗市、松前町、福島町、知内町、木古内町、七飯町、鹿部町、森町、八雲町、長万部町</t>
    <phoneticPr fontId="6"/>
  </si>
  <si>
    <t>檜山振興局</t>
    <rPh sb="0" eb="2">
      <t>ヒヤマ</t>
    </rPh>
    <rPh sb="2" eb="5">
      <t>シンコウキョク</t>
    </rPh>
    <phoneticPr fontId="1"/>
  </si>
  <si>
    <t>檜山振興局</t>
    <rPh sb="0" eb="2">
      <t>ヒヤマ</t>
    </rPh>
    <rPh sb="2" eb="5">
      <t>シンコウキョク</t>
    </rPh>
    <phoneticPr fontId="6"/>
  </si>
  <si>
    <t>江差町、上ノ国町、厚沢部町、乙部町、奥尻町、今金町、せたな町</t>
    <phoneticPr fontId="6"/>
  </si>
  <si>
    <t>後志総合振興局</t>
    <rPh sb="0" eb="2">
      <t>シリベシ</t>
    </rPh>
    <rPh sb="2" eb="4">
      <t>ソウゴウ</t>
    </rPh>
    <rPh sb="4" eb="7">
      <t>シンコウキョク</t>
    </rPh>
    <phoneticPr fontId="1"/>
  </si>
  <si>
    <t>後志総合振興局</t>
    <rPh sb="0" eb="2">
      <t>シリベシ</t>
    </rPh>
    <rPh sb="2" eb="4">
      <t>ソウゴウ</t>
    </rPh>
    <rPh sb="4" eb="7">
      <t>シンコウキョク</t>
    </rPh>
    <phoneticPr fontId="6"/>
  </si>
  <si>
    <t>島牧村、寿都町、黒松内町、蘭越町、ニセコ町、真狩村、留寿都村、喜茂別町、京極町、倶知安町、</t>
    <phoneticPr fontId="6"/>
  </si>
  <si>
    <t>共和町、岩内町、泊村、神恵内村</t>
    <phoneticPr fontId="6"/>
  </si>
  <si>
    <t>小樽道税事務所</t>
    <phoneticPr fontId="6"/>
  </si>
  <si>
    <t>小樽市、積丹町、古平町、仁木町、余市町、赤井川村</t>
    <phoneticPr fontId="6"/>
  </si>
  <si>
    <t>空知総合振興局</t>
    <rPh sb="0" eb="2">
      <t>ソラチ</t>
    </rPh>
    <rPh sb="2" eb="4">
      <t>ソウゴウ</t>
    </rPh>
    <rPh sb="4" eb="7">
      <t>シンコウキョク</t>
    </rPh>
    <phoneticPr fontId="1"/>
  </si>
  <si>
    <t>空知総合振興局</t>
    <rPh sb="0" eb="2">
      <t>ソラチ</t>
    </rPh>
    <rPh sb="2" eb="4">
      <t>ソウゴウ</t>
    </rPh>
    <rPh sb="4" eb="7">
      <t>シンコウキョク</t>
    </rPh>
    <phoneticPr fontId="6"/>
  </si>
  <si>
    <t>夕張市、岩見沢市、美唄市、芦別市、赤平市、三笠市、滝川市、砂川市、歌志内市、南幌町、</t>
    <phoneticPr fontId="6"/>
  </si>
  <si>
    <t>奈井江町、上砂川町、由仁町、長沼町、栗山町、月形町、浦臼町、新十津川町</t>
    <phoneticPr fontId="6"/>
  </si>
  <si>
    <t>深川道税事務所</t>
    <phoneticPr fontId="6"/>
  </si>
  <si>
    <t>深川市、妹背牛町、秩父別町、雨竜町、北竜町、沼田町</t>
    <phoneticPr fontId="6"/>
  </si>
  <si>
    <t>上川総合振興局</t>
    <rPh sb="0" eb="2">
      <t>カミカワ</t>
    </rPh>
    <rPh sb="2" eb="4">
      <t>ソウゴウ</t>
    </rPh>
    <rPh sb="4" eb="7">
      <t>シンコウキョク</t>
    </rPh>
    <phoneticPr fontId="1"/>
  </si>
  <si>
    <t>上川総合振興局</t>
    <rPh sb="0" eb="2">
      <t>カミカワ</t>
    </rPh>
    <rPh sb="2" eb="4">
      <t>ソウゴウ</t>
    </rPh>
    <rPh sb="4" eb="7">
      <t>シンコウキョク</t>
    </rPh>
    <phoneticPr fontId="6"/>
  </si>
  <si>
    <t>旭川市、富良野市、鷹栖町、東神楽町、当麻町、比布町、愛別町、上川町、東川町、美瑛町、</t>
    <phoneticPr fontId="6"/>
  </si>
  <si>
    <t>上富良野町、中富良野町、南富良野町、占冠村、幌加内町</t>
    <phoneticPr fontId="6"/>
  </si>
  <si>
    <t>名寄道税事務所</t>
    <phoneticPr fontId="6"/>
  </si>
  <si>
    <t>士別市、名寄市、和寒町、剣淵町、下川町、美深町、音威子府村、中川町</t>
    <phoneticPr fontId="6"/>
  </si>
  <si>
    <t>留萌振興局</t>
    <rPh sb="0" eb="2">
      <t>ルモイ</t>
    </rPh>
    <rPh sb="2" eb="5">
      <t>シンコウキョク</t>
    </rPh>
    <phoneticPr fontId="6"/>
  </si>
  <si>
    <t>留萌市、増毛町、小平町、苫前町、羽幌町、初山別村、遠別町、天塩町</t>
    <phoneticPr fontId="6"/>
  </si>
  <si>
    <t>宗谷総合振興局</t>
    <rPh sb="0" eb="2">
      <t>ソウヤ</t>
    </rPh>
    <rPh sb="2" eb="4">
      <t>ソウゴウ</t>
    </rPh>
    <rPh sb="4" eb="7">
      <t>シンコウキョク</t>
    </rPh>
    <phoneticPr fontId="1"/>
  </si>
  <si>
    <t>宗谷総合振興局</t>
    <rPh sb="0" eb="2">
      <t>ソウヤ</t>
    </rPh>
    <rPh sb="2" eb="4">
      <t>ソウゴウ</t>
    </rPh>
    <rPh sb="4" eb="7">
      <t>シンコウキョク</t>
    </rPh>
    <phoneticPr fontId="6"/>
  </si>
  <si>
    <t>稚内市、猿払村、浜頓別町、中頓別町、枝幸町、豊富町、礼文町、利尻町、利尻富士町、幌延町</t>
    <phoneticPr fontId="6"/>
  </si>
  <si>
    <t>オホーツク総合振興局</t>
    <rPh sb="5" eb="7">
      <t>ソウゴウ</t>
    </rPh>
    <rPh sb="7" eb="10">
      <t>シンコウキョク</t>
    </rPh>
    <phoneticPr fontId="6"/>
  </si>
  <si>
    <t>網走市、大空町、美幌町、津別町、斜里町、清里町、小清水町</t>
    <phoneticPr fontId="6"/>
  </si>
  <si>
    <t>北見道税事務所</t>
    <rPh sb="0" eb="2">
      <t>キタミ</t>
    </rPh>
    <rPh sb="2" eb="4">
      <t>ドウゼイ</t>
    </rPh>
    <rPh sb="4" eb="6">
      <t>ジム</t>
    </rPh>
    <rPh sb="6" eb="7">
      <t>ショ</t>
    </rPh>
    <phoneticPr fontId="6"/>
  </si>
  <si>
    <t>北見市、訓子府町、置戸町、佐呂間町、遠軽町</t>
    <phoneticPr fontId="6"/>
  </si>
  <si>
    <t>紋別道税事務所</t>
    <rPh sb="0" eb="2">
      <t>モンベツ</t>
    </rPh>
    <rPh sb="2" eb="4">
      <t>ドウゼイ</t>
    </rPh>
    <rPh sb="4" eb="6">
      <t>ジム</t>
    </rPh>
    <rPh sb="6" eb="7">
      <t>ショ</t>
    </rPh>
    <phoneticPr fontId="6"/>
  </si>
  <si>
    <t>紋別市、湧別町、滝上町、興部町、西興部村、雄武町</t>
    <phoneticPr fontId="6"/>
  </si>
  <si>
    <t>胆振総合振興局</t>
    <rPh sb="0" eb="2">
      <t>イブリ</t>
    </rPh>
    <rPh sb="2" eb="4">
      <t>ソウゴウ</t>
    </rPh>
    <rPh sb="4" eb="7">
      <t>シンコウキョク</t>
    </rPh>
    <phoneticPr fontId="1"/>
  </si>
  <si>
    <t>胆振総合振興局</t>
    <rPh sb="0" eb="2">
      <t>イブリ</t>
    </rPh>
    <rPh sb="2" eb="4">
      <t>ソウゴウ</t>
    </rPh>
    <rPh sb="4" eb="7">
      <t>シンコウキョク</t>
    </rPh>
    <phoneticPr fontId="6"/>
  </si>
  <si>
    <t>室蘭市、登別市、伊達市、豊浦町、壮瞥町、洞爺湖町</t>
    <phoneticPr fontId="6"/>
  </si>
  <si>
    <t>苫小牧道税事務所</t>
    <rPh sb="0" eb="3">
      <t>トマコマイ</t>
    </rPh>
    <rPh sb="3" eb="5">
      <t>ドウゼイ</t>
    </rPh>
    <rPh sb="5" eb="7">
      <t>ジム</t>
    </rPh>
    <rPh sb="7" eb="8">
      <t>ショ</t>
    </rPh>
    <phoneticPr fontId="6"/>
  </si>
  <si>
    <t>苫小牧市、白老町、厚真町、安平町、むかわ町</t>
    <phoneticPr fontId="6"/>
  </si>
  <si>
    <t>日高振興局</t>
    <rPh sb="0" eb="2">
      <t>ヒダカ</t>
    </rPh>
    <rPh sb="2" eb="5">
      <t>シンコウキョク</t>
    </rPh>
    <phoneticPr fontId="1"/>
  </si>
  <si>
    <t>日高振興局</t>
    <rPh sb="0" eb="2">
      <t>ヒダカ</t>
    </rPh>
    <rPh sb="2" eb="5">
      <t>シンコウキョク</t>
    </rPh>
    <phoneticPr fontId="6"/>
  </si>
  <si>
    <t>日高町、平取町、新冠町、浦河町、様似町、えりも町、新ひだか町</t>
    <phoneticPr fontId="6"/>
  </si>
  <si>
    <t>十勝総合振興局</t>
    <rPh sb="0" eb="2">
      <t>トカチ</t>
    </rPh>
    <rPh sb="2" eb="4">
      <t>ソウゴウ</t>
    </rPh>
    <rPh sb="4" eb="7">
      <t>シンコウキョク</t>
    </rPh>
    <phoneticPr fontId="1"/>
  </si>
  <si>
    <t>十勝総合振興局</t>
    <rPh sb="0" eb="2">
      <t>トカチ</t>
    </rPh>
    <rPh sb="2" eb="4">
      <t>ソウゴウ</t>
    </rPh>
    <rPh sb="4" eb="7">
      <t>シンコウキョク</t>
    </rPh>
    <phoneticPr fontId="6"/>
  </si>
  <si>
    <t>帯広市、音更町、士幌町、上士幌町、鹿追町、新得町、清水町、芽室町、中札内村、更別村、大樹町、</t>
    <phoneticPr fontId="6"/>
  </si>
  <si>
    <t>広尾町、幕別町、池田町、豊頃町、本別町、足寄町、陸別町、浦幌町</t>
    <phoneticPr fontId="6"/>
  </si>
  <si>
    <t>釧路総合振興局</t>
    <rPh sb="0" eb="2">
      <t>クシロ</t>
    </rPh>
    <rPh sb="2" eb="4">
      <t>ソウゴウ</t>
    </rPh>
    <rPh sb="4" eb="7">
      <t>シンコウキョク</t>
    </rPh>
    <phoneticPr fontId="1"/>
  </si>
  <si>
    <t>釧路総合振興局</t>
    <rPh sb="0" eb="2">
      <t>クシロ</t>
    </rPh>
    <rPh sb="2" eb="4">
      <t>ソウゴウ</t>
    </rPh>
    <rPh sb="4" eb="7">
      <t>シンコウキョク</t>
    </rPh>
    <phoneticPr fontId="6"/>
  </si>
  <si>
    <t>釧路市、釧路町、厚岸町、浜中町、標茶町、弟子屈町、鶴居村、白糠町</t>
    <phoneticPr fontId="6"/>
  </si>
  <si>
    <t>根室振興局</t>
    <rPh sb="0" eb="2">
      <t>ネムロ</t>
    </rPh>
    <rPh sb="2" eb="5">
      <t>シンコウキョク</t>
    </rPh>
    <phoneticPr fontId="1"/>
  </si>
  <si>
    <t>根室振興局</t>
    <rPh sb="0" eb="2">
      <t>ネムロ</t>
    </rPh>
    <rPh sb="2" eb="5">
      <t>シンコウキョク</t>
    </rPh>
    <phoneticPr fontId="6"/>
  </si>
  <si>
    <t>根室市、別海町、中標津町､標津町、羅臼町</t>
    <phoneticPr fontId="6"/>
  </si>
  <si>
    <t>宿泊施設</t>
    <rPh sb="0" eb="2">
      <t>シュクハク</t>
    </rPh>
    <rPh sb="2" eb="4">
      <t>シセツ</t>
    </rPh>
    <phoneticPr fontId="1"/>
  </si>
  <si>
    <t>宿泊施設所在地</t>
    <rPh sb="0" eb="2">
      <t>シュクハク</t>
    </rPh>
    <rPh sb="2" eb="4">
      <t>シセツ</t>
    </rPh>
    <rPh sb="4" eb="7">
      <t>ショザイチ</t>
    </rPh>
    <phoneticPr fontId="6"/>
  </si>
  <si>
    <t>月計表・申告書からの転記</t>
    <rPh sb="0" eb="2">
      <t>ゲッケイ</t>
    </rPh>
    <rPh sb="2" eb="3">
      <t>ヒョウ</t>
    </rPh>
    <rPh sb="4" eb="7">
      <t>シンコクショ</t>
    </rPh>
    <rPh sb="10" eb="12">
      <t>テンキ</t>
    </rPh>
    <phoneticPr fontId="1"/>
  </si>
  <si>
    <t>小樽道税事務所</t>
    <rPh sb="0" eb="2">
      <t>オタル</t>
    </rPh>
    <rPh sb="2" eb="4">
      <t>ドウゼイ</t>
    </rPh>
    <rPh sb="4" eb="7">
      <t>ジムショ</t>
    </rPh>
    <phoneticPr fontId="1"/>
  </si>
  <si>
    <t>深川道税事務所</t>
    <rPh sb="0" eb="2">
      <t>フカガワ</t>
    </rPh>
    <rPh sb="2" eb="4">
      <t>ドウゼイ</t>
    </rPh>
    <rPh sb="4" eb="7">
      <t>ジムショ</t>
    </rPh>
    <phoneticPr fontId="1"/>
  </si>
  <si>
    <t>名寄道税事務所</t>
    <rPh sb="0" eb="2">
      <t>ナヨロ</t>
    </rPh>
    <rPh sb="2" eb="4">
      <t>ドウゼイ</t>
    </rPh>
    <rPh sb="4" eb="7">
      <t>ジムショ</t>
    </rPh>
    <phoneticPr fontId="1"/>
  </si>
  <si>
    <t>留萌総合振興局</t>
    <rPh sb="0" eb="2">
      <t>ルモイ</t>
    </rPh>
    <rPh sb="2" eb="4">
      <t>ソウゴウ</t>
    </rPh>
    <rPh sb="4" eb="7">
      <t>シンコウキョク</t>
    </rPh>
    <phoneticPr fontId="1"/>
  </si>
  <si>
    <t>ｵﾎｰﾂｸ総合振興局</t>
    <rPh sb="5" eb="7">
      <t>ソウゴウ</t>
    </rPh>
    <rPh sb="7" eb="10">
      <t>シンコウキョク</t>
    </rPh>
    <phoneticPr fontId="1"/>
  </si>
  <si>
    <t>北見道税事務所</t>
    <rPh sb="0" eb="2">
      <t>キタミ</t>
    </rPh>
    <rPh sb="2" eb="4">
      <t>ドウゼイ</t>
    </rPh>
    <rPh sb="4" eb="7">
      <t>ジムショ</t>
    </rPh>
    <phoneticPr fontId="1"/>
  </si>
  <si>
    <t>紋別道税事務所</t>
    <rPh sb="0" eb="2">
      <t>モンベツ</t>
    </rPh>
    <rPh sb="2" eb="4">
      <t>ドウゼイ</t>
    </rPh>
    <rPh sb="4" eb="7">
      <t>ジムショ</t>
    </rPh>
    <phoneticPr fontId="1"/>
  </si>
  <si>
    <t>苫小牧道税事務所</t>
    <rPh sb="0" eb="3">
      <t>トマコマイ</t>
    </rPh>
    <rPh sb="3" eb="5">
      <t>ドウゼイ</t>
    </rPh>
    <rPh sb="5" eb="8">
      <t>ジムショ</t>
    </rPh>
    <phoneticPr fontId="1"/>
  </si>
  <si>
    <t>札幌道税事務所</t>
    <rPh sb="0" eb="2">
      <t>サッポロ</t>
    </rPh>
    <rPh sb="2" eb="4">
      <t>ドウゼイ</t>
    </rPh>
    <rPh sb="4" eb="7">
      <t>ジムショ</t>
    </rPh>
    <phoneticPr fontId="1"/>
  </si>
  <si>
    <t>010</t>
    <phoneticPr fontId="1"/>
  </si>
  <si>
    <t>020</t>
    <phoneticPr fontId="1"/>
  </si>
  <si>
    <t>030</t>
    <phoneticPr fontId="1"/>
  </si>
  <si>
    <t>040</t>
    <phoneticPr fontId="1"/>
  </si>
  <si>
    <t>041</t>
    <phoneticPr fontId="1"/>
  </si>
  <si>
    <t>050</t>
    <phoneticPr fontId="1"/>
  </si>
  <si>
    <t>051</t>
    <phoneticPr fontId="1"/>
  </si>
  <si>
    <t>060</t>
    <phoneticPr fontId="1"/>
  </si>
  <si>
    <t>070</t>
    <phoneticPr fontId="1"/>
  </si>
  <si>
    <t>080</t>
    <phoneticPr fontId="1"/>
  </si>
  <si>
    <t>090</t>
    <phoneticPr fontId="1"/>
  </si>
  <si>
    <t>091</t>
    <phoneticPr fontId="1"/>
  </si>
  <si>
    <t>092</t>
    <phoneticPr fontId="1"/>
  </si>
  <si>
    <t>100</t>
    <phoneticPr fontId="1"/>
  </si>
  <si>
    <t>101</t>
    <phoneticPr fontId="1"/>
  </si>
  <si>
    <t>110</t>
    <phoneticPr fontId="1"/>
  </si>
  <si>
    <t>120</t>
    <phoneticPr fontId="1"/>
  </si>
  <si>
    <t>130</t>
    <phoneticPr fontId="1"/>
  </si>
  <si>
    <t>140</t>
    <phoneticPr fontId="1"/>
  </si>
  <si>
    <t>210</t>
    <phoneticPr fontId="1"/>
  </si>
  <si>
    <t>取扱庁リスト</t>
    <rPh sb="0" eb="2">
      <t>トリアツカイ</t>
    </rPh>
    <rPh sb="2" eb="3">
      <t>チョウ</t>
    </rPh>
    <phoneticPr fontId="1"/>
  </si>
  <si>
    <t>入力方法</t>
    <rPh sb="0" eb="2">
      <t>ニュウリョク</t>
    </rPh>
    <rPh sb="2" eb="4">
      <t>ホウホウ</t>
    </rPh>
    <phoneticPr fontId="1"/>
  </si>
  <si>
    <t>宿泊税額等</t>
    <rPh sb="0" eb="3">
      <t>シュクハクゼイ</t>
    </rPh>
    <rPh sb="3" eb="4">
      <t>ガク</t>
    </rPh>
    <rPh sb="4" eb="5">
      <t>トウ</t>
    </rPh>
    <phoneticPr fontId="6"/>
  </si>
  <si>
    <t>採用税額</t>
    <rPh sb="0" eb="2">
      <t>サイヨウ</t>
    </rPh>
    <rPh sb="2" eb="4">
      <t>ゼイガク</t>
    </rPh>
    <phoneticPr fontId="1"/>
  </si>
  <si>
    <t>税額</t>
    <rPh sb="0" eb="2">
      <t>ゼイガク</t>
    </rPh>
    <phoneticPr fontId="1"/>
  </si>
  <si>
    <t>過少</t>
    <rPh sb="0" eb="2">
      <t>カショウ</t>
    </rPh>
    <phoneticPr fontId="1"/>
  </si>
  <si>
    <t>不申</t>
    <rPh sb="0" eb="1">
      <t>フ</t>
    </rPh>
    <rPh sb="1" eb="2">
      <t>サル</t>
    </rPh>
    <phoneticPr fontId="1"/>
  </si>
  <si>
    <t>重</t>
    <rPh sb="0" eb="1">
      <t>ジュウ</t>
    </rPh>
    <phoneticPr fontId="1"/>
  </si>
  <si>
    <t>払込年度</t>
    <rPh sb="0" eb="2">
      <t>ハライコミ</t>
    </rPh>
    <rPh sb="2" eb="4">
      <t>ネンド</t>
    </rPh>
    <phoneticPr fontId="1"/>
  </si>
  <si>
    <t>桁数</t>
    <rPh sb="0" eb="2">
      <t>ケタスウ</t>
    </rPh>
    <phoneticPr fontId="6"/>
  </si>
  <si>
    <t>十</t>
    <rPh sb="0" eb="1">
      <t>ジュウ</t>
    </rPh>
    <phoneticPr fontId="1"/>
  </si>
  <si>
    <t>百</t>
    <rPh sb="0" eb="1">
      <t>ヒャク</t>
    </rPh>
    <phoneticPr fontId="1"/>
  </si>
  <si>
    <t>千</t>
    <rPh sb="0" eb="1">
      <t>セン</t>
    </rPh>
    <phoneticPr fontId="1"/>
  </si>
  <si>
    <t>万</t>
    <rPh sb="0" eb="1">
      <t>マン</t>
    </rPh>
    <phoneticPr fontId="1"/>
  </si>
  <si>
    <t>個人番号又は法人番号(最大13桁)</t>
    <rPh sb="0" eb="2">
      <t>コジン</t>
    </rPh>
    <rPh sb="2" eb="4">
      <t>バンゴウ</t>
    </rPh>
    <rPh sb="4" eb="5">
      <t>マタ</t>
    </rPh>
    <rPh sb="6" eb="8">
      <t>ホウジン</t>
    </rPh>
    <rPh sb="8" eb="10">
      <t>バンゴウ</t>
    </rPh>
    <rPh sb="11" eb="13">
      <t>サイダイ</t>
    </rPh>
    <rPh sb="15" eb="16">
      <t>ケタ</t>
    </rPh>
    <phoneticPr fontId="6"/>
  </si>
  <si>
    <t>住所（所在地）</t>
    <rPh sb="0" eb="2">
      <t>ジュウショ</t>
    </rPh>
    <rPh sb="3" eb="6">
      <t>ショザイチ</t>
    </rPh>
    <phoneticPr fontId="6"/>
  </si>
  <si>
    <t>氏名（名称）・
代表者の氏名</t>
    <rPh sb="0" eb="2">
      <t>シメイ</t>
    </rPh>
    <rPh sb="3" eb="5">
      <t>メイショウ</t>
    </rPh>
    <rPh sb="8" eb="11">
      <t>ダイヒョウシャ</t>
    </rPh>
    <rPh sb="12" eb="14">
      <t>シメイ</t>
    </rPh>
    <phoneticPr fontId="6"/>
  </si>
  <si>
    <t>注　意</t>
  </si>
  <si>
    <t>１　納期限までに納めないときは、督促状が発付されます。</t>
    <phoneticPr fontId="1"/>
  </si>
  <si>
    <t>３　延滞金の確定金額に100円未満の端数があるとき、又はその全額が1,000円未満であるときは、その端数金額又はその全額を切り捨てます。</t>
  </si>
  <si>
    <t>２　納期限後に納めるときは、税額（その額に1,000円未満の端数があるとき、又はその全額が2,000円未満であるときは、その端数金額又はその全額を切り捨
　てます。）に、その納期限の翌日から納付の日までの期間の日数に応じ、年14.6パーセント（当該納期限の翌日から１月を経過する日までの期間について
　は、年7.3パーセント）の割合（当該期間の属する各年の延滞金特例基準割合（租税特別措置法第93条第２項に規定する平均貸付割合に年１パーセントの割
　合を加算した割合をいう。以下同じ。）が年7.3パーセントの割合に満たない場合には、その年中においては、年14.6パーセントの割合にあってはその年に
　おける延滞金特例基準割合に年7.3パーセントの割合を加算した割合とし、年7.3パーセントの割合にあっては当該延滞金特例基準割合に年１パーセントの割
　合を加算した割合（当該加算した割合が年7.3パーセントの割合を超える場合には、年7.3パーセントの割合）とします。）を乗じて計算した金額に相当する
　延滞金額を加算して納めてください。この場合における年当たりの割合は、閏(じゅん)年の日を含む期間についても、365日当たりの割合です。</t>
    <phoneticPr fontId="1"/>
  </si>
  <si>
    <t>４　この処分について不服がある場合には、この納税通知書を受け取った日の翌日から起算して３月以内に知事に審査請求をすることができます（審査請求を
　する場合は、審査請求書を当該審査請求に係る処分をした総合振興局長等を経由して提出するようにしてください。）。</t>
    <phoneticPr fontId="1"/>
  </si>
  <si>
    <t>５　この処分について不服がある場合には、４の審査請求に対する裁決書を受け取った日の翌日から起算して６月以内に、北海道（訴訟において北海道を代表
　する者は、北海道知事となります。）を被告として、札幌地方裁判所（又はこの処分を行った総合振興局長等の所在地を管轄する地方裁判所）に処分の取消
　しの訴えを提起することができます。ただし、裁決書を受け取った日の翌日から起算して６月以内であっても、裁決の日の翌日から起算して１年を経過する
　と処分の取消しの訴えを提起することができなくなります</t>
    <phoneticPr fontId="1"/>
  </si>
  <si>
    <t>６　この処分については、４の審査請求の裁決を経た後でなければ、裁判所に処分の取消しの訴えを提起することができません（地方税法第19条の12）が、次
　の各号のいずれかに該当するときは、審査請求に対する裁決を経ないで処分の取消しの訴えを提起することができます。
　 　(１)　審査請求があった日の翌日から起算して３月を経過しても裁決がないとき。
　 　(２)　処分、処分の執行又は手続の続行により生ずる著しい損害を避けるため緊急の必要があるとき。
　 　(３)　その他裁決を経ないことにつき正当な理由があるとき。</t>
    <phoneticPr fontId="1"/>
  </si>
  <si>
    <t>申告書提出年月日</t>
    <rPh sb="0" eb="3">
      <t>シンコクショ</t>
    </rPh>
    <rPh sb="3" eb="5">
      <t>テイシュツ</t>
    </rPh>
    <rPh sb="5" eb="8">
      <t>ネンガッピ</t>
    </rPh>
    <phoneticPr fontId="6"/>
  </si>
  <si>
    <t>納期限</t>
    <rPh sb="0" eb="3">
      <t>ノウキゲン</t>
    </rPh>
    <phoneticPr fontId="6"/>
  </si>
  <si>
    <t>061</t>
    <phoneticPr fontId="1"/>
  </si>
  <si>
    <t>北海道宿泊税納入申告書・月計表・納入書　入力表</t>
    <rPh sb="0" eb="3">
      <t>ホッカイドウ</t>
    </rPh>
    <rPh sb="3" eb="6">
      <t>シュクハクゼイ</t>
    </rPh>
    <rPh sb="6" eb="8">
      <t>ノウニュウ</t>
    </rPh>
    <rPh sb="8" eb="11">
      <t>シンコクショ</t>
    </rPh>
    <rPh sb="12" eb="14">
      <t>ゲッケイ</t>
    </rPh>
    <rPh sb="14" eb="15">
      <t>ヒョウ</t>
    </rPh>
    <rPh sb="16" eb="19">
      <t>ノウニュウショ</t>
    </rPh>
    <rPh sb="20" eb="22">
      <t>ニュウリョク</t>
    </rPh>
    <rPh sb="22" eb="23">
      <t>ヒョウ</t>
    </rPh>
    <phoneticPr fontId="6"/>
  </si>
  <si>
    <t>←北海道から通知した特別徴収義務者登録通知書に記載されている指定番号(徴収原簿番号)を転記してください。</t>
    <rPh sb="1" eb="4">
      <t>ホッカイドウ</t>
    </rPh>
    <rPh sb="6" eb="8">
      <t>ツウチ</t>
    </rPh>
    <rPh sb="10" eb="12">
      <t>トクベツ</t>
    </rPh>
    <rPh sb="12" eb="14">
      <t>チョウシュウ</t>
    </rPh>
    <rPh sb="14" eb="17">
      <t>ギムシャ</t>
    </rPh>
    <rPh sb="17" eb="19">
      <t>トウロク</t>
    </rPh>
    <rPh sb="19" eb="22">
      <t>ツウチショ</t>
    </rPh>
    <rPh sb="23" eb="25">
      <t>キサイ</t>
    </rPh>
    <rPh sb="30" eb="32">
      <t>シテイ</t>
    </rPh>
    <rPh sb="32" eb="34">
      <t>バンゴウ</t>
    </rPh>
    <rPh sb="35" eb="37">
      <t>チョウシュウ</t>
    </rPh>
    <rPh sb="37" eb="39">
      <t>ゲンボ</t>
    </rPh>
    <rPh sb="39" eb="41">
      <t>バンゴウ</t>
    </rPh>
    <rPh sb="43" eb="45">
      <t>テンキ</t>
    </rPh>
    <phoneticPr fontId="6"/>
  </si>
  <si>
    <r>
      <t>指定番号（12桁）</t>
    </r>
    <r>
      <rPr>
        <b/>
        <sz val="11"/>
        <color rgb="FFFF0000"/>
        <rFont val="游ゴシック"/>
        <family val="3"/>
        <charset val="128"/>
        <scheme val="minor"/>
      </rPr>
      <t>※必須</t>
    </r>
    <rPh sb="0" eb="2">
      <t>シテイ</t>
    </rPh>
    <rPh sb="2" eb="4">
      <t>バンゴウ</t>
    </rPh>
    <rPh sb="7" eb="8">
      <t>ケタ</t>
    </rPh>
    <rPh sb="10" eb="12">
      <t>ヒッス</t>
    </rPh>
    <phoneticPr fontId="6"/>
  </si>
  <si>
    <t>納入内容
（納入書）</t>
    <rPh sb="0" eb="2">
      <t>ノウニュウ</t>
    </rPh>
    <rPh sb="2" eb="4">
      <t>ナイヨウ</t>
    </rPh>
    <rPh sb="6" eb="9">
      <t>ノウニュウショ</t>
    </rPh>
    <phoneticPr fontId="6"/>
  </si>
  <si>
    <t>宿泊数（人泊）</t>
    <rPh sb="0" eb="2">
      <t>シュクハク</t>
    </rPh>
    <rPh sb="2" eb="3">
      <t>スウ</t>
    </rPh>
    <rPh sb="4" eb="5">
      <t>ニン</t>
    </rPh>
    <rPh sb="5" eb="6">
      <t>トマリ</t>
    </rPh>
    <phoneticPr fontId="1"/>
  </si>
  <si>
    <t>合計（人泊）</t>
    <rPh sb="0" eb="2">
      <t>ゴウケイ</t>
    </rPh>
    <rPh sb="3" eb="4">
      <t>ニン</t>
    </rPh>
    <rPh sb="4" eb="5">
      <t>ハク</t>
    </rPh>
    <phoneticPr fontId="1"/>
  </si>
  <si>
    <t>宿泊料金が
２万円未満</t>
    <rPh sb="0" eb="2">
      <t>シュクハク</t>
    </rPh>
    <rPh sb="2" eb="4">
      <t>リョウキン</t>
    </rPh>
    <rPh sb="7" eb="9">
      <t>マンエン</t>
    </rPh>
    <rPh sb="9" eb="11">
      <t>ミマン</t>
    </rPh>
    <phoneticPr fontId="1"/>
  </si>
  <si>
    <t>宿泊料金が
５万円以上</t>
    <rPh sb="0" eb="2">
      <t>シュクハク</t>
    </rPh>
    <rPh sb="2" eb="4">
      <t>リョウキン</t>
    </rPh>
    <rPh sb="7" eb="9">
      <t>マンエン</t>
    </rPh>
    <rPh sb="9" eb="11">
      <t>イジョウ</t>
    </rPh>
    <phoneticPr fontId="1"/>
  </si>
  <si>
    <r>
      <t>手入力</t>
    </r>
    <r>
      <rPr>
        <sz val="8"/>
        <color rgb="FFFF0000"/>
        <rFont val="游ゴシック"/>
        <family val="3"/>
        <charset val="128"/>
        <scheme val="minor"/>
      </rPr>
      <t>（納入書（領収証書等）を手入力で作成する場合）</t>
    </r>
    <rPh sb="0" eb="3">
      <t>テニュウリョク</t>
    </rPh>
    <rPh sb="4" eb="6">
      <t>ノウニュウ</t>
    </rPh>
    <rPh sb="6" eb="7">
      <t>ショ</t>
    </rPh>
    <rPh sb="8" eb="10">
      <t>リョウシュウ</t>
    </rPh>
    <rPh sb="10" eb="12">
      <t>ショウショ</t>
    </rPh>
    <rPh sb="12" eb="13">
      <t>トウ</t>
    </rPh>
    <rPh sb="15" eb="18">
      <t>テニュウリョク</t>
    </rPh>
    <rPh sb="19" eb="21">
      <t>サクセイ</t>
    </rPh>
    <rPh sb="23" eb="25">
      <t>バアイ</t>
    </rPh>
    <phoneticPr fontId="1"/>
  </si>
  <si>
    <t>（切り取り線）</t>
    <rPh sb="1" eb="2">
      <t>キ</t>
    </rPh>
    <rPh sb="3" eb="4">
      <t>ト</t>
    </rPh>
    <rPh sb="5" eb="6">
      <t>セン</t>
    </rPh>
    <phoneticPr fontId="1"/>
  </si>
  <si>
    <t>入力例（6月～８月）</t>
    <rPh sb="0" eb="3">
      <t>ニュウリョクレイ</t>
    </rPh>
    <rPh sb="5" eb="6">
      <t>ツキ</t>
    </rPh>
    <rPh sb="8" eb="9">
      <t>ツキ</t>
    </rPh>
    <phoneticPr fontId="6"/>
  </si>
  <si>
    <t>↑2026/8/31</t>
    <phoneticPr fontId="6"/>
  </si>
  <si>
    <t>←2026/9/30（入力例：令和8年6月~8月分の場合)</t>
    <rPh sb="11" eb="13">
      <t>ニュウリョク</t>
    </rPh>
    <rPh sb="13" eb="14">
      <t>レイ</t>
    </rPh>
    <rPh sb="15" eb="17">
      <t>レイワ</t>
    </rPh>
    <rPh sb="18" eb="19">
      <t>ネン</t>
    </rPh>
    <rPh sb="20" eb="21">
      <t>ツキ</t>
    </rPh>
    <rPh sb="23" eb="24">
      <t>ツキ</t>
    </rPh>
    <rPh sb="24" eb="25">
      <t>ブン</t>
    </rPh>
    <rPh sb="26" eb="28">
      <t>バアイ</t>
    </rPh>
    <phoneticPr fontId="6"/>
  </si>
  <si>
    <t>↑2026/6/1</t>
    <phoneticPr fontId="6"/>
  </si>
  <si>
    <t>※金融機関には切り離した３枚すべてを提出してください。</t>
    <rPh sb="1" eb="3">
      <t>キンユウ</t>
    </rPh>
    <rPh sb="3" eb="5">
      <t>キカン</t>
    </rPh>
    <rPh sb="7" eb="8">
      <t>キ</t>
    </rPh>
    <rPh sb="9" eb="10">
      <t>ハナ</t>
    </rPh>
    <rPh sb="13" eb="14">
      <t>マイ</t>
    </rPh>
    <rPh sb="18" eb="20">
      <t>テイシュツ</t>
    </rPh>
    <phoneticPr fontId="1"/>
  </si>
  <si>
    <t>・納期限は、3月~5月分は6月末、6月~8月分は9月末、9月~11月分は12月末、12月~2月分は3月末です。
・9月～11月分の12月末については、法令等に基づき翌年の1月4日が納期限となります。
・休止・廃業の場合は休止・廃業した日から1ヶ月後が納期限となります。
・納期限が土日祝日に当たる場合は、その次の平日が納期限となります。</t>
    <rPh sb="1" eb="4">
      <t>ノウキゲン</t>
    </rPh>
    <rPh sb="7" eb="8">
      <t>ツキ</t>
    </rPh>
    <rPh sb="10" eb="11">
      <t>ツキ</t>
    </rPh>
    <rPh sb="11" eb="12">
      <t>ブン</t>
    </rPh>
    <rPh sb="14" eb="15">
      <t>ツキ</t>
    </rPh>
    <rPh sb="15" eb="16">
      <t>マツ</t>
    </rPh>
    <rPh sb="58" eb="59">
      <t>ガツ</t>
    </rPh>
    <rPh sb="62" eb="63">
      <t>ガツ</t>
    </rPh>
    <rPh sb="63" eb="64">
      <t>ブン</t>
    </rPh>
    <rPh sb="67" eb="68">
      <t>ツキ</t>
    </rPh>
    <rPh sb="68" eb="69">
      <t>マツ</t>
    </rPh>
    <rPh sb="75" eb="77">
      <t>ホウレイ</t>
    </rPh>
    <rPh sb="77" eb="78">
      <t>トウ</t>
    </rPh>
    <rPh sb="79" eb="80">
      <t>モト</t>
    </rPh>
    <rPh sb="82" eb="84">
      <t>ヨクネン</t>
    </rPh>
    <rPh sb="86" eb="87">
      <t>ツキ</t>
    </rPh>
    <rPh sb="88" eb="89">
      <t>ニチ</t>
    </rPh>
    <rPh sb="90" eb="93">
      <t>ノウキゲン</t>
    </rPh>
    <rPh sb="101" eb="103">
      <t>キュウシ</t>
    </rPh>
    <rPh sb="104" eb="106">
      <t>ハイギョウ</t>
    </rPh>
    <rPh sb="107" eb="109">
      <t>バアイ</t>
    </rPh>
    <rPh sb="110" eb="112">
      <t>キュウシ</t>
    </rPh>
    <rPh sb="113" eb="115">
      <t>ハイギョウ</t>
    </rPh>
    <rPh sb="117" eb="118">
      <t>ヒ</t>
    </rPh>
    <rPh sb="122" eb="123">
      <t>ゲツ</t>
    </rPh>
    <rPh sb="123" eb="124">
      <t>ゴ</t>
    </rPh>
    <rPh sb="125" eb="128">
      <t>ノウキゲン</t>
    </rPh>
    <rPh sb="136" eb="139">
      <t>ノウキゲン</t>
    </rPh>
    <rPh sb="145" eb="146">
      <t>ア</t>
    </rPh>
    <rPh sb="154" eb="155">
      <t>ツギ</t>
    </rPh>
    <rPh sb="156" eb="158">
      <t>ヘイジツ</t>
    </rPh>
    <rPh sb="159" eb="162">
      <t>ノウキゲン</t>
    </rPh>
    <phoneticPr fontId="6"/>
  </si>
  <si>
    <t>税コード</t>
    <rPh sb="0" eb="1">
      <t>ゼイ</t>
    </rPh>
    <phoneticPr fontId="1"/>
  </si>
  <si>
    <t>加入者名</t>
    <rPh sb="0" eb="3">
      <t>カニュウシャ</t>
    </rPh>
    <rPh sb="3" eb="4">
      <t>メイ</t>
    </rPh>
    <phoneticPr fontId="1"/>
  </si>
  <si>
    <t>北海道会計管理者</t>
    <rPh sb="0" eb="3">
      <t>ホッカイドウ</t>
    </rPh>
    <rPh sb="3" eb="5">
      <t>カイケイ</t>
    </rPh>
    <rPh sb="5" eb="8">
      <t>カンリシャ</t>
    </rPh>
    <phoneticPr fontId="1"/>
  </si>
  <si>
    <t>指定番号
（徴収原簿番号）</t>
    <rPh sb="0" eb="2">
      <t>シテイ</t>
    </rPh>
    <rPh sb="2" eb="4">
      <t>バンゴウ</t>
    </rPh>
    <rPh sb="6" eb="8">
      <t>チョウシュウ</t>
    </rPh>
    <rPh sb="8" eb="10">
      <t>ゲンボ</t>
    </rPh>
    <rPh sb="10" eb="12">
      <t>バンゴウ</t>
    </rPh>
    <rPh sb="12" eb="13">
      <t>バンゴウ</t>
    </rPh>
    <phoneticPr fontId="1"/>
  </si>
  <si>
    <t>このデータの「入力表」シート及び「月計表」を入力することで、「申告書」、「納入書（領収証書等）」が作成されます。
申告及び納付の際は、「月計表」、「申告書」及び「納入書（領収証書等）」を印刷してお使いください。
各項目の記載方法については別添「宿泊税納入申告書　記載例」をご確認ください。</t>
    <rPh sb="7" eb="9">
      <t>ニュウリョク</t>
    </rPh>
    <rPh sb="9" eb="10">
      <t>ヒョウ</t>
    </rPh>
    <rPh sb="14" eb="15">
      <t>オヨ</t>
    </rPh>
    <rPh sb="17" eb="20">
      <t>ゲッケイヒョウ</t>
    </rPh>
    <rPh sb="22" eb="24">
      <t>ニュウリョク</t>
    </rPh>
    <rPh sb="31" eb="34">
      <t>シンコクショ</t>
    </rPh>
    <rPh sb="49" eb="51">
      <t>サクセイ</t>
    </rPh>
    <rPh sb="57" eb="59">
      <t>シンコク</t>
    </rPh>
    <rPh sb="59" eb="60">
      <t>オヨ</t>
    </rPh>
    <rPh sb="61" eb="63">
      <t>ノウフ</t>
    </rPh>
    <rPh sb="64" eb="65">
      <t>サイ</t>
    </rPh>
    <rPh sb="68" eb="71">
      <t>ゲッケイヒョウ</t>
    </rPh>
    <rPh sb="74" eb="77">
      <t>シンコクショ</t>
    </rPh>
    <rPh sb="78" eb="79">
      <t>オヨ</t>
    </rPh>
    <rPh sb="93" eb="95">
      <t>インサツ</t>
    </rPh>
    <rPh sb="98" eb="99">
      <t>ツカ</t>
    </rPh>
    <rPh sb="106" eb="107">
      <t>カク</t>
    </rPh>
    <rPh sb="107" eb="109">
      <t>コウモク</t>
    </rPh>
    <rPh sb="110" eb="112">
      <t>キサイ</t>
    </rPh>
    <rPh sb="112" eb="114">
      <t>ホウホウ</t>
    </rPh>
    <rPh sb="119" eb="121">
      <t>ベッテン</t>
    </rPh>
    <rPh sb="122" eb="125">
      <t>シュクハクゼイ</t>
    </rPh>
    <rPh sb="125" eb="127">
      <t>ノウニュウ</t>
    </rPh>
    <rPh sb="127" eb="130">
      <t>シンコクショ</t>
    </rPh>
    <rPh sb="131" eb="134">
      <t>キサイレイ</t>
    </rPh>
    <rPh sb="137" eb="139">
      <t>カクニン</t>
    </rPh>
    <phoneticPr fontId="6"/>
  </si>
  <si>
    <t>※注意事項
・納入書（領収証書等）の合計額欄を二重線などで訂正すると金融機関で納めることができなくなります。
・納入書（領収証書等）のシートには、オブジェクトを組み込んでおりますので、必ず表示をして印刷してください。
　オブジェクト箇所：上部「公」丸囲み</t>
    <rPh sb="1" eb="3">
      <t>チュウイ</t>
    </rPh>
    <rPh sb="3" eb="5">
      <t>ジコウ</t>
    </rPh>
    <rPh sb="7" eb="10">
      <t>ノウニュウショ</t>
    </rPh>
    <rPh sb="11" eb="13">
      <t>リョウシュウ</t>
    </rPh>
    <rPh sb="13" eb="15">
      <t>ショウショ</t>
    </rPh>
    <rPh sb="15" eb="16">
      <t>トウ</t>
    </rPh>
    <rPh sb="18" eb="21">
      <t>ゴウケイガク</t>
    </rPh>
    <rPh sb="21" eb="22">
      <t>ラン</t>
    </rPh>
    <rPh sb="23" eb="26">
      <t>ニジュウセン</t>
    </rPh>
    <rPh sb="29" eb="31">
      <t>テイセイ</t>
    </rPh>
    <rPh sb="34" eb="36">
      <t>キンユウ</t>
    </rPh>
    <rPh sb="36" eb="38">
      <t>キカン</t>
    </rPh>
    <rPh sb="39" eb="40">
      <t>オサ</t>
    </rPh>
    <rPh sb="56" eb="59">
      <t>ノウニュウショ</t>
    </rPh>
    <rPh sb="60" eb="65">
      <t>リョウシュウショウショトウ</t>
    </rPh>
    <rPh sb="80" eb="81">
      <t>ク</t>
    </rPh>
    <rPh sb="82" eb="83">
      <t>コ</t>
    </rPh>
    <rPh sb="92" eb="93">
      <t>カナラ</t>
    </rPh>
    <rPh sb="94" eb="96">
      <t>ヒョウジ</t>
    </rPh>
    <rPh sb="99" eb="101">
      <t>インサツ</t>
    </rPh>
    <rPh sb="116" eb="118">
      <t>カショ</t>
    </rPh>
    <rPh sb="119" eb="121">
      <t>ジョウブ</t>
    </rPh>
    <rPh sb="122" eb="123">
      <t>コウ</t>
    </rPh>
    <rPh sb="124" eb="125">
      <t>マル</t>
    </rPh>
    <rPh sb="125" eb="126">
      <t>カコ</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</si>
</sst>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_);[Red]\(#,##0\)"/>
    <numFmt numFmtId="177" formatCode="General&quot;円&quot;"/>
    <numFmt numFmtId="178" formatCode="#,##0&quot;円&quot;"/>
    <numFmt numFmtId="179" formatCode="[$-411]ggge&quot;年&quot;m&quot;月&quot;d&quot;日&quot;;@"/>
    <numFmt numFmtId="180" formatCode="m&quot;月分&quot;"/>
    <numFmt numFmtId="181" formatCode="e;@"/>
    <numFmt numFmtId="182" formatCode="m;@"/>
    <numFmt numFmtId="183" formatCode="e&quot;年&quot;;@"/>
    <numFmt numFmtId="184" formatCode="eemmdd;@"/>
    <numFmt numFmtId="185" formatCode="0_);[Red]\(0\)"/>
    <numFmt numFmtId="186" formatCode="[$]ggge&quot;年&quot;m&quot;月&quot;d&quot;日&quot;;@" x16r2:formatCode16="[$-ja-JP-x-gannen]ggge&quot;年&quot;m&quot;月&quot;d&quot;日&quot;;@"/>
    <numFmt numFmtId="187" formatCode="#,##0&quot;人泊&quot;"/>
  </numFmts>
  <fonts count="61" x14ac:knownFonts="1">
    <font>
      <sz val="11"/>
      <color theme="1"/>
      <name val="游ゴシック"/>
      <family val="2"/>
      <scheme val="minor"/>
    </font>
    <font>
      <sz val="6"/>
      <name val="游ゴシック"/>
      <family val="3"/>
      <charset val="128"/>
      <scheme val="minor"/>
    </font>
    <font>
      <sz val="11"/>
      <color theme="1"/>
      <name val="ＭＳ 明朝"/>
      <family val="1"/>
      <charset val="128"/>
    </font>
    <font>
      <sz val="12"/>
      <color theme="1"/>
      <name val="ＭＳ 明朝"/>
      <family val="1"/>
      <charset val="128"/>
    </font>
    <font>
      <sz val="11"/>
      <color theme="1"/>
      <name val="游ゴシック"/>
      <family val="2"/>
      <scheme val="minor"/>
    </font>
    <font>
      <sz val="11"/>
      <name val="ＭＳ Ｐゴシック"/>
      <family val="3"/>
      <charset val="128"/>
    </font>
    <font>
      <sz val="6"/>
      <name val="ＭＳ Ｐゴシック"/>
      <family val="3"/>
      <charset val="128"/>
    </font>
    <font>
      <sz val="11"/>
      <color theme="1"/>
      <name val="游ゴシック"/>
      <family val="3"/>
      <charset val="128"/>
      <scheme val="minor"/>
    </font>
    <font>
      <sz val="7.5"/>
      <color theme="1"/>
      <name val="ＭＳ 明朝"/>
      <family val="1"/>
      <charset val="128"/>
    </font>
    <font>
      <b/>
      <sz val="13"/>
      <color theme="1"/>
      <name val="ＭＳ ゴシック"/>
      <family val="3"/>
      <charset val="128"/>
    </font>
    <font>
      <sz val="4"/>
      <color theme="1"/>
      <name val="ＭＳ 明朝"/>
      <family val="1"/>
      <charset val="128"/>
    </font>
    <font>
      <sz val="6"/>
      <color theme="1"/>
      <name val="ＭＳ 明朝"/>
      <family val="1"/>
      <charset val="128"/>
    </font>
    <font>
      <b/>
      <sz val="14"/>
      <color theme="1"/>
      <name val="ＭＳ ゴシック"/>
      <family val="3"/>
      <charset val="128"/>
    </font>
    <font>
      <b/>
      <sz val="11"/>
      <color theme="1"/>
      <name val="ＭＳ ゴシック"/>
      <family val="3"/>
      <charset val="128"/>
    </font>
    <font>
      <b/>
      <sz val="8"/>
      <color theme="1"/>
      <name val="ＭＳ 明朝"/>
      <family val="1"/>
      <charset val="128"/>
    </font>
    <font>
      <b/>
      <sz val="8"/>
      <color theme="1"/>
      <name val="游ゴシック"/>
      <family val="3"/>
      <charset val="128"/>
      <scheme val="minor"/>
    </font>
    <font>
      <sz val="8"/>
      <color theme="1"/>
      <name val="ＭＳ 明朝"/>
      <family val="1"/>
      <charset val="128"/>
    </font>
    <font>
      <sz val="8"/>
      <color theme="1"/>
      <name val="游ゴシック"/>
      <family val="3"/>
      <charset val="128"/>
      <scheme val="minor"/>
    </font>
    <font>
      <sz val="12"/>
      <color theme="1"/>
      <name val="HGPｺﾞｼｯｸM"/>
      <family val="3"/>
      <charset val="128"/>
    </font>
    <font>
      <sz val="10"/>
      <color theme="1"/>
      <name val="ＭＳ 明朝"/>
      <family val="1"/>
      <charset val="128"/>
    </font>
    <font>
      <sz val="11"/>
      <color theme="1"/>
      <name val="HGPｺﾞｼｯｸM"/>
      <family val="3"/>
      <charset val="128"/>
    </font>
    <font>
      <sz val="12"/>
      <name val="BIZ UDゴシック"/>
      <family val="3"/>
      <charset val="128"/>
    </font>
    <font>
      <sz val="7.5"/>
      <name val="ＭＳ 明朝"/>
      <family val="1"/>
      <charset val="128"/>
    </font>
    <font>
      <sz val="11"/>
      <name val="ＭＳ 明朝"/>
      <family val="1"/>
      <charset val="128"/>
    </font>
    <font>
      <sz val="7.5"/>
      <color theme="1"/>
      <name val="HGPｺﾞｼｯｸM"/>
      <family val="3"/>
      <charset val="128"/>
    </font>
    <font>
      <sz val="14"/>
      <color theme="1"/>
      <name val="ＭＳ 明朝"/>
      <family val="1"/>
      <charset val="128"/>
    </font>
    <font>
      <sz val="6"/>
      <name val="ＭＳ 明朝"/>
      <family val="1"/>
      <charset val="128"/>
    </font>
    <font>
      <sz val="12"/>
      <name val="ＭＳ 明朝"/>
      <family val="1"/>
      <charset val="128"/>
    </font>
    <font>
      <sz val="9"/>
      <color theme="1"/>
      <name val="ＭＳ 明朝"/>
      <family val="1"/>
      <charset val="128"/>
    </font>
    <font>
      <sz val="20"/>
      <name val="HGｺﾞｼｯｸM"/>
      <family val="3"/>
      <charset val="128"/>
    </font>
    <font>
      <sz val="10"/>
      <name val="HGｺﾞｼｯｸM"/>
      <family val="3"/>
      <charset val="128"/>
    </font>
    <font>
      <b/>
      <sz val="10"/>
      <name val="HGｺﾞｼｯｸM"/>
      <family val="3"/>
      <charset val="128"/>
    </font>
    <font>
      <sz val="8"/>
      <name val="HGｺﾞｼｯｸM"/>
      <family val="3"/>
      <charset val="128"/>
    </font>
    <font>
      <sz val="11"/>
      <name val="HGｺﾞｼｯｸM"/>
      <family val="3"/>
      <charset val="128"/>
    </font>
    <font>
      <b/>
      <sz val="11"/>
      <name val="HGｺﾞｼｯｸM"/>
      <family val="3"/>
      <charset val="128"/>
    </font>
    <font>
      <sz val="11"/>
      <name val="HGPｺﾞｼｯｸM"/>
      <family val="3"/>
      <charset val="128"/>
    </font>
    <font>
      <sz val="11"/>
      <name val="BIZ UDゴシック"/>
      <family val="3"/>
      <charset val="128"/>
    </font>
    <font>
      <sz val="10"/>
      <color theme="1"/>
      <name val="BIZ UDゴシック"/>
      <family val="3"/>
      <charset val="128"/>
    </font>
    <font>
      <sz val="10"/>
      <color theme="1"/>
      <name val="游ゴシック"/>
      <family val="3"/>
      <charset val="128"/>
      <scheme val="minor"/>
    </font>
    <font>
      <sz val="7.5"/>
      <color theme="1"/>
      <name val="游ゴシック"/>
      <family val="3"/>
      <charset val="128"/>
      <scheme val="minor"/>
    </font>
    <font>
      <sz val="9"/>
      <name val="BIZ UDゴシック"/>
      <family val="3"/>
      <charset val="128"/>
    </font>
    <font>
      <sz val="11"/>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b/>
      <sz val="10"/>
      <color rgb="FFFF0000"/>
      <name val="游ゴシック"/>
      <family val="3"/>
      <charset val="128"/>
      <scheme val="minor"/>
    </font>
    <font>
      <sz val="10"/>
      <name val="游ゴシック"/>
      <family val="3"/>
      <charset val="128"/>
      <scheme val="minor"/>
    </font>
    <font>
      <sz val="8"/>
      <color rgb="FFFF0000"/>
      <name val="游ゴシック"/>
      <family val="3"/>
      <charset val="128"/>
      <scheme val="minor"/>
    </font>
    <font>
      <sz val="11"/>
      <color theme="1"/>
      <name val="游明朝"/>
      <family val="1"/>
      <charset val="128"/>
    </font>
    <font>
      <sz val="14"/>
      <name val="游明朝"/>
      <family val="1"/>
      <charset val="128"/>
    </font>
    <font>
      <sz val="12"/>
      <name val="游明朝"/>
      <family val="1"/>
      <charset val="128"/>
    </font>
    <font>
      <sz val="9"/>
      <color theme="1"/>
      <name val="游明朝"/>
      <family val="1"/>
      <charset val="128"/>
    </font>
    <font>
      <sz val="11"/>
      <name val="游明朝"/>
      <family val="1"/>
      <charset val="128"/>
    </font>
    <font>
      <sz val="12"/>
      <color rgb="FFFF0000"/>
      <name val="游ゴシック"/>
      <family val="3"/>
      <charset val="128"/>
      <scheme val="minor"/>
    </font>
    <font>
      <sz val="18"/>
      <color theme="1"/>
      <name val="游明朝"/>
      <family val="1"/>
      <charset val="128"/>
    </font>
    <font>
      <sz val="12"/>
      <color theme="1"/>
      <name val="游明朝"/>
      <family val="1"/>
      <charset val="128"/>
    </font>
    <font>
      <b/>
      <sz val="13"/>
      <color theme="1"/>
      <name val="BIZ UDゴシック"/>
      <family val="3"/>
      <charset val="128"/>
    </font>
    <font>
      <sz val="11"/>
      <color theme="1"/>
      <name val="BIZ UDゴシック"/>
      <family val="3"/>
      <charset val="128"/>
    </font>
    <font>
      <b/>
      <sz val="14"/>
      <color theme="1"/>
      <name val="BIZ UDゴシック"/>
      <family val="3"/>
      <charset val="128"/>
    </font>
    <font>
      <sz val="7.5"/>
      <color theme="1"/>
      <name val="BIZ UDゴシック"/>
      <family val="3"/>
      <charset val="128"/>
    </font>
    <font>
      <b/>
      <sz val="9"/>
      <color theme="1"/>
      <name val="BIZ UDゴシック"/>
      <family val="3"/>
      <charset val="128"/>
    </font>
    <font>
      <b/>
      <sz val="11"/>
      <name val="游ゴシック"/>
      <family val="3"/>
      <charset val="128"/>
      <scheme val="minor"/>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indexed="43"/>
        <bgColor indexed="64"/>
      </patternFill>
    </fill>
    <fill>
      <patternFill patternType="solid">
        <fgColor indexed="26"/>
        <bgColor indexed="64"/>
      </patternFill>
    </fill>
    <fill>
      <patternFill patternType="solid">
        <fgColor theme="6" tint="0.59999389629810485"/>
        <bgColor indexed="64"/>
      </patternFill>
    </fill>
  </fills>
  <borders count="18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diagonalUp="1">
      <left/>
      <right/>
      <top/>
      <bottom style="thin">
        <color auto="1"/>
      </bottom>
      <diagonal style="thin">
        <color auto="1"/>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diagonalUp="1">
      <left/>
      <right style="thin">
        <color indexed="64"/>
      </right>
      <top/>
      <bottom style="thin">
        <color indexed="64"/>
      </bottom>
      <diagonal style="thin">
        <color auto="1"/>
      </diagonal>
    </border>
    <border>
      <left/>
      <right style="thin">
        <color indexed="64"/>
      </right>
      <top/>
      <bottom style="thin">
        <color indexed="64"/>
      </bottom>
      <diagonal/>
    </border>
    <border diagonalUp="1">
      <left/>
      <right/>
      <top style="thin">
        <color indexed="64"/>
      </top>
      <bottom style="thin">
        <color indexed="64"/>
      </bottom>
      <diagonal style="thin">
        <color auto="1"/>
      </diagonal>
    </border>
    <border diagonalUp="1">
      <left/>
      <right style="thin">
        <color indexed="64"/>
      </right>
      <top style="thin">
        <color indexed="64"/>
      </top>
      <bottom style="thin">
        <color indexed="64"/>
      </bottom>
      <diagonal style="thin">
        <color auto="1"/>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right style="dotted">
        <color indexed="64"/>
      </right>
      <top style="thin">
        <color indexed="64"/>
      </top>
      <bottom/>
      <diagonal/>
    </border>
    <border>
      <left style="dotted">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auto="1"/>
      </diagonal>
    </border>
    <border diagonalUp="1">
      <left style="medium">
        <color indexed="64"/>
      </left>
      <right style="thin">
        <color indexed="64"/>
      </right>
      <top style="medium">
        <color indexed="64"/>
      </top>
      <bottom style="medium">
        <color indexed="64"/>
      </bottom>
      <diagonal style="thin">
        <color auto="1"/>
      </diagonal>
    </border>
    <border diagonalUp="1">
      <left style="thin">
        <color indexed="64"/>
      </left>
      <right style="medium">
        <color indexed="64"/>
      </right>
      <top style="medium">
        <color indexed="64"/>
      </top>
      <bottom style="medium">
        <color indexed="64"/>
      </bottom>
      <diagonal style="thin">
        <color auto="1"/>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diagonalUp="1">
      <left style="thin">
        <color indexed="64"/>
      </left>
      <right/>
      <top/>
      <bottom style="medium">
        <color indexed="64"/>
      </bottom>
      <diagonal style="thin">
        <color auto="1"/>
      </diagonal>
    </border>
    <border>
      <left style="thin">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top/>
      <bottom style="thin">
        <color theme="2" tint="-0.249977111117893"/>
      </bottom>
      <diagonal/>
    </border>
    <border>
      <left/>
      <right/>
      <top/>
      <bottom style="thin">
        <color theme="2" tint="-0.249977111117893"/>
      </bottom>
      <diagonal/>
    </border>
    <border>
      <left/>
      <right style="thin">
        <color indexed="64"/>
      </right>
      <top/>
      <bottom style="thin">
        <color theme="2" tint="-0.249977111117893"/>
      </bottom>
      <diagonal/>
    </border>
    <border>
      <left/>
      <right style="hair">
        <color indexed="64"/>
      </right>
      <top/>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theme="2" tint="-0.249977111117893"/>
      </top>
      <bottom/>
      <diagonal/>
    </border>
    <border>
      <left/>
      <right/>
      <top style="hair">
        <color theme="2" tint="-0.249977111117893"/>
      </top>
      <bottom/>
      <diagonal/>
    </border>
    <border>
      <left/>
      <right style="thin">
        <color indexed="64"/>
      </right>
      <top style="hair">
        <color theme="2" tint="-0.249977111117893"/>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hair">
        <color indexed="64"/>
      </top>
      <bottom/>
      <diagonal/>
    </border>
    <border>
      <left/>
      <right style="hair">
        <color theme="2" tint="-0.249977111117893"/>
      </right>
      <top style="hair">
        <color indexed="64"/>
      </top>
      <bottom/>
      <diagonal/>
    </border>
    <border>
      <left style="hair">
        <color indexed="64"/>
      </left>
      <right/>
      <top style="hair">
        <color indexed="64"/>
      </top>
      <bottom/>
      <diagonal/>
    </border>
    <border>
      <left style="hair">
        <color theme="2" tint="-0.249977111117893"/>
      </left>
      <right/>
      <top style="hair">
        <color indexed="64"/>
      </top>
      <bottom/>
      <diagonal/>
    </border>
    <border>
      <left/>
      <right style="hair">
        <color theme="2" tint="-0.249977111117893"/>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theme="2" tint="-0.249977111117893"/>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theme="2" tint="-0.249977111117893"/>
      </left>
      <right/>
      <top/>
      <bottom style="hair">
        <color indexed="64"/>
      </bottom>
      <diagonal/>
    </border>
    <border>
      <left style="thin">
        <color indexed="64"/>
      </left>
      <right/>
      <top/>
      <bottom style="hair">
        <color theme="2" tint="-0.249977111117893"/>
      </bottom>
      <diagonal/>
    </border>
    <border>
      <left/>
      <right/>
      <top/>
      <bottom style="hair">
        <color theme="2" tint="-0.249977111117893"/>
      </bottom>
      <diagonal/>
    </border>
    <border>
      <left/>
      <right style="thin">
        <color indexed="64"/>
      </right>
      <top/>
      <bottom style="hair">
        <color theme="2" tint="-0.249977111117893"/>
      </bottom>
      <diagonal/>
    </border>
    <border>
      <left/>
      <right style="hair">
        <color theme="2" tint="-0.249977111117893"/>
      </right>
      <top/>
      <bottom style="hair">
        <color theme="2" tint="-0.249977111117893"/>
      </bottom>
      <diagonal/>
    </border>
    <border>
      <left style="hair">
        <color theme="2" tint="-0.249977111117893"/>
      </left>
      <right/>
      <top/>
      <bottom style="hair">
        <color theme="2" tint="-0.249977111117893"/>
      </bottom>
      <diagonal/>
    </border>
    <border>
      <left/>
      <right style="hair">
        <color indexed="64"/>
      </right>
      <top/>
      <bottom style="hair">
        <color theme="2" tint="-0.249977111117893"/>
      </bottom>
      <diagonal/>
    </border>
    <border>
      <left style="hair">
        <color indexed="64"/>
      </left>
      <right/>
      <top/>
      <bottom style="hair">
        <color theme="2" tint="-0.249977111117893"/>
      </bottom>
      <diagonal/>
    </border>
    <border>
      <left style="thin">
        <color auto="1"/>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right style="thin">
        <color theme="2" tint="-0.249977111117893"/>
      </right>
      <top/>
      <bottom/>
      <diagonal/>
    </border>
    <border>
      <left/>
      <right style="thin">
        <color theme="2" tint="-0.249977111117893"/>
      </right>
      <top/>
      <bottom style="thin">
        <color auto="1"/>
      </bottom>
      <diagonal/>
    </border>
    <border>
      <left/>
      <right/>
      <top/>
      <bottom style="dashDotDot">
        <color indexed="64"/>
      </bottom>
      <diagonal/>
    </border>
    <border>
      <left style="thin">
        <color theme="0" tint="-0.34998626667073579"/>
      </left>
      <right/>
      <top/>
      <bottom/>
      <diagonal/>
    </border>
    <border>
      <left style="thin">
        <color auto="1"/>
      </left>
      <right/>
      <top style="hair">
        <color theme="1"/>
      </top>
      <bottom/>
      <diagonal/>
    </border>
    <border>
      <left/>
      <right/>
      <top style="hair">
        <color theme="1"/>
      </top>
      <bottom/>
      <diagonal/>
    </border>
    <border>
      <left/>
      <right style="hair">
        <color theme="1"/>
      </right>
      <top style="hair">
        <color theme="1"/>
      </top>
      <bottom/>
      <diagonal/>
    </border>
    <border>
      <left style="hair">
        <color theme="1"/>
      </left>
      <right/>
      <top style="hair">
        <color theme="1"/>
      </top>
      <bottom/>
      <diagonal/>
    </border>
    <border>
      <left style="hair">
        <color theme="1"/>
      </left>
      <right style="dotted">
        <color theme="1"/>
      </right>
      <top style="hair">
        <color theme="1"/>
      </top>
      <bottom/>
      <diagonal/>
    </border>
    <border>
      <left style="dotted">
        <color theme="1"/>
      </left>
      <right style="dotted">
        <color theme="1"/>
      </right>
      <top style="hair">
        <color theme="1"/>
      </top>
      <bottom/>
      <diagonal/>
    </border>
    <border>
      <left style="dotted">
        <color theme="1"/>
      </left>
      <right/>
      <top style="hair">
        <color theme="1"/>
      </top>
      <bottom/>
      <diagonal/>
    </border>
    <border>
      <left style="hair">
        <color auto="1"/>
      </left>
      <right style="dotted">
        <color auto="1"/>
      </right>
      <top style="hair">
        <color auto="1"/>
      </top>
      <bottom/>
      <diagonal/>
    </border>
    <border>
      <left style="dotted">
        <color auto="1"/>
      </left>
      <right style="dotted">
        <color auto="1"/>
      </right>
      <top style="hair">
        <color auto="1"/>
      </top>
      <bottom/>
      <diagonal/>
    </border>
    <border>
      <left style="dotted">
        <color auto="1"/>
      </left>
      <right style="hair">
        <color auto="1"/>
      </right>
      <top style="hair">
        <color auto="1"/>
      </top>
      <bottom/>
      <diagonal/>
    </border>
    <border>
      <left style="dotted">
        <color auto="1"/>
      </left>
      <right/>
      <top style="hair">
        <color auto="1"/>
      </top>
      <bottom/>
      <diagonal/>
    </border>
    <border>
      <left/>
      <right style="hair">
        <color theme="1"/>
      </right>
      <top/>
      <bottom/>
      <diagonal/>
    </border>
    <border>
      <left style="hair">
        <color theme="1"/>
      </left>
      <right/>
      <top/>
      <bottom/>
      <diagonal/>
    </border>
    <border>
      <left style="hair">
        <color theme="1"/>
      </left>
      <right style="dotted">
        <color theme="1"/>
      </right>
      <top/>
      <bottom/>
      <diagonal/>
    </border>
    <border>
      <left style="dotted">
        <color theme="1"/>
      </left>
      <right style="dotted">
        <color theme="1"/>
      </right>
      <top/>
      <bottom/>
      <diagonal/>
    </border>
    <border>
      <left style="dotted">
        <color theme="1"/>
      </left>
      <right/>
      <top/>
      <bottom/>
      <diagonal/>
    </border>
    <border>
      <left style="hair">
        <color auto="1"/>
      </left>
      <right style="dotted">
        <color auto="1"/>
      </right>
      <top/>
      <bottom/>
      <diagonal/>
    </border>
    <border>
      <left style="dotted">
        <color auto="1"/>
      </left>
      <right style="dotted">
        <color auto="1"/>
      </right>
      <top/>
      <bottom/>
      <diagonal/>
    </border>
    <border>
      <left style="dotted">
        <color auto="1"/>
      </left>
      <right style="hair">
        <color auto="1"/>
      </right>
      <top/>
      <bottom/>
      <diagonal/>
    </border>
    <border>
      <left style="dotted">
        <color auto="1"/>
      </left>
      <right/>
      <top/>
      <bottom/>
      <diagonal/>
    </border>
    <border>
      <left/>
      <right style="hair">
        <color theme="1"/>
      </right>
      <top/>
      <bottom style="thin">
        <color auto="1"/>
      </bottom>
      <diagonal/>
    </border>
    <border>
      <left style="hair">
        <color theme="1"/>
      </left>
      <right/>
      <top/>
      <bottom style="thin">
        <color auto="1"/>
      </bottom>
      <diagonal/>
    </border>
    <border>
      <left style="hair">
        <color theme="1"/>
      </left>
      <right style="dotted">
        <color theme="1"/>
      </right>
      <top/>
      <bottom style="thin">
        <color auto="1"/>
      </bottom>
      <diagonal/>
    </border>
    <border>
      <left style="dotted">
        <color theme="1"/>
      </left>
      <right style="dotted">
        <color theme="1"/>
      </right>
      <top/>
      <bottom style="thin">
        <color auto="1"/>
      </bottom>
      <diagonal/>
    </border>
    <border>
      <left style="dotted">
        <color theme="1"/>
      </left>
      <right/>
      <top/>
      <bottom style="thin">
        <color auto="1"/>
      </bottom>
      <diagonal/>
    </border>
    <border>
      <left style="hair">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hair">
        <color auto="1"/>
      </right>
      <top/>
      <bottom style="thin">
        <color auto="1"/>
      </bottom>
      <diagonal/>
    </border>
    <border>
      <left style="dotted">
        <color auto="1"/>
      </left>
      <right/>
      <top/>
      <bottom style="thin">
        <color auto="1"/>
      </bottom>
      <diagonal/>
    </border>
    <border>
      <left style="thin">
        <color theme="0" tint="-0.34998626667073579"/>
      </left>
      <right/>
      <top/>
      <bottom style="thin">
        <color indexed="64"/>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hair">
        <color indexed="64"/>
      </right>
      <top style="thin">
        <color theme="0" tint="-0.34998626667073579"/>
      </top>
      <bottom style="thin">
        <color theme="0" tint="-0.34998626667073579"/>
      </bottom>
      <diagonal/>
    </border>
    <border>
      <left style="thin">
        <color indexed="64"/>
      </left>
      <right/>
      <top style="thin">
        <color theme="0" tint="-0.34998626667073579"/>
      </top>
      <bottom/>
      <diagonal/>
    </border>
    <border>
      <left/>
      <right/>
      <top style="thin">
        <color theme="0" tint="-0.34998626667073579"/>
      </top>
      <bottom/>
      <diagonal/>
    </border>
    <border>
      <left/>
      <right style="hair">
        <color indexed="64"/>
      </right>
      <top style="thin">
        <color theme="0" tint="-0.34998626667073579"/>
      </top>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indexed="64"/>
      </right>
      <top style="thin">
        <color theme="0" tint="-0.499984740745262"/>
      </top>
      <bottom style="thin">
        <color theme="0" tint="-0.499984740745262"/>
      </bottom>
      <diagonal/>
    </border>
    <border>
      <left/>
      <right style="thin">
        <color theme="0" tint="-0.34998626667073579"/>
      </right>
      <top style="thin">
        <color theme="2" tint="-0.249977111117893"/>
      </top>
      <bottom/>
      <diagonal/>
    </border>
    <border>
      <left style="thin">
        <color indexed="64"/>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hair">
        <color theme="2" tint="-0.249977111117893"/>
      </left>
      <right/>
      <top style="hair">
        <color indexed="64"/>
      </top>
      <bottom style="hair">
        <color indexed="64"/>
      </bottom>
      <diagonal/>
    </border>
    <border>
      <left style="hair">
        <color indexed="64"/>
      </left>
      <right/>
      <top/>
      <bottom style="thin">
        <color theme="2" tint="-0.249977111117893"/>
      </bottom>
      <diagonal/>
    </border>
    <border>
      <left/>
      <right style="hair">
        <color indexed="64"/>
      </right>
      <top/>
      <bottom style="thin">
        <color theme="2" tint="-0.249977111117893"/>
      </bottom>
      <diagonal/>
    </border>
    <border>
      <left/>
      <right style="hair">
        <color indexed="64"/>
      </right>
      <top/>
      <bottom style="thin">
        <color theme="0" tint="-0.34998626667073579"/>
      </bottom>
      <diagonal/>
    </border>
    <border>
      <left style="thin">
        <color indexed="64"/>
      </left>
      <right/>
      <top style="hair">
        <color indexed="64"/>
      </top>
      <bottom style="thin">
        <color indexed="64"/>
      </bottom>
      <diagonal/>
    </border>
  </borders>
  <cellStyleXfs count="6">
    <xf numFmtId="0" fontId="0" fillId="0" borderId="0"/>
    <xf numFmtId="38" fontId="4"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0" fontId="7" fillId="0" borderId="0">
      <alignment vertical="center"/>
    </xf>
    <xf numFmtId="0" fontId="5" fillId="0" borderId="0"/>
  </cellStyleXfs>
  <cellXfs count="617">
    <xf numFmtId="0" fontId="0" fillId="0" borderId="0" xfId="0"/>
    <xf numFmtId="0" fontId="8" fillId="0" borderId="0" xfId="4" applyFont="1">
      <alignment vertical="center"/>
    </xf>
    <xf numFmtId="0" fontId="8" fillId="3" borderId="0" xfId="4" applyFont="1" applyFill="1">
      <alignment vertical="center"/>
    </xf>
    <xf numFmtId="0" fontId="11" fillId="3" borderId="52" xfId="4" applyFont="1" applyFill="1" applyBorder="1" applyAlignment="1">
      <alignment horizontal="center" vertical="center"/>
    </xf>
    <xf numFmtId="0" fontId="12" fillId="3" borderId="0" xfId="4" applyFont="1" applyFill="1">
      <alignment vertical="center"/>
    </xf>
    <xf numFmtId="0" fontId="16" fillId="3" borderId="0" xfId="4" applyFont="1" applyFill="1" applyAlignment="1"/>
    <xf numFmtId="0" fontId="17" fillId="3" borderId="0" xfId="4" applyFont="1" applyFill="1" applyAlignment="1"/>
    <xf numFmtId="0" fontId="17" fillId="3" borderId="0" xfId="4" applyFont="1" applyFill="1">
      <alignment vertical="center"/>
    </xf>
    <xf numFmtId="0" fontId="14" fillId="3" borderId="0" xfId="4" applyFont="1" applyFill="1" applyAlignment="1">
      <alignment horizontal="right" vertical="center"/>
    </xf>
    <xf numFmtId="0" fontId="15" fillId="3" borderId="0" xfId="4" applyFont="1" applyFill="1" applyAlignment="1">
      <alignment horizontal="right" vertical="center"/>
    </xf>
    <xf numFmtId="0" fontId="11" fillId="3" borderId="82" xfId="4" applyFont="1" applyFill="1" applyBorder="1" applyAlignment="1">
      <alignment vertical="top"/>
    </xf>
    <xf numFmtId="0" fontId="11" fillId="3" borderId="66" xfId="4" applyFont="1" applyFill="1" applyBorder="1" applyAlignment="1">
      <alignment vertical="top"/>
    </xf>
    <xf numFmtId="0" fontId="11" fillId="3" borderId="80" xfId="4" applyFont="1" applyFill="1" applyBorder="1" applyAlignment="1">
      <alignment vertical="top"/>
    </xf>
    <xf numFmtId="0" fontId="11" fillId="3" borderId="64" xfId="4" applyFont="1" applyFill="1" applyBorder="1" applyAlignment="1">
      <alignment vertical="top"/>
    </xf>
    <xf numFmtId="0" fontId="11" fillId="3" borderId="0" xfId="4" applyFont="1" applyFill="1" applyAlignment="1">
      <alignment vertical="top"/>
    </xf>
    <xf numFmtId="0" fontId="11" fillId="3" borderId="10" xfId="4" applyFont="1" applyFill="1" applyBorder="1" applyAlignment="1">
      <alignment vertical="top"/>
    </xf>
    <xf numFmtId="0" fontId="11" fillId="3" borderId="58" xfId="4" applyFont="1" applyFill="1" applyBorder="1" applyAlignment="1">
      <alignment vertical="top"/>
    </xf>
    <xf numFmtId="0" fontId="11" fillId="3" borderId="56" xfId="4" applyFont="1" applyFill="1" applyBorder="1" applyAlignment="1">
      <alignment vertical="top"/>
    </xf>
    <xf numFmtId="0" fontId="11" fillId="3" borderId="59" xfId="4" applyFont="1" applyFill="1" applyBorder="1" applyAlignment="1">
      <alignment vertical="top"/>
    </xf>
    <xf numFmtId="0" fontId="11" fillId="3" borderId="66" xfId="4" applyFont="1" applyFill="1" applyBorder="1" applyAlignment="1">
      <alignment vertical="top" wrapText="1" shrinkToFit="1"/>
    </xf>
    <xf numFmtId="0" fontId="11" fillId="3" borderId="80" xfId="4" applyFont="1" applyFill="1" applyBorder="1" applyAlignment="1">
      <alignment vertical="top" wrapText="1" shrinkToFit="1"/>
    </xf>
    <xf numFmtId="0" fontId="8" fillId="3" borderId="9" xfId="4" applyFont="1" applyFill="1" applyBorder="1">
      <alignment vertical="center"/>
    </xf>
    <xf numFmtId="0" fontId="8" fillId="3" borderId="63" xfId="4" applyFont="1" applyFill="1" applyBorder="1">
      <alignment vertical="center"/>
    </xf>
    <xf numFmtId="0" fontId="11" fillId="3" borderId="64" xfId="4" applyFont="1" applyFill="1" applyBorder="1" applyAlignment="1">
      <alignment vertical="top" wrapText="1" shrinkToFit="1"/>
    </xf>
    <xf numFmtId="0" fontId="11" fillId="3" borderId="0" xfId="4" applyFont="1" applyFill="1" applyAlignment="1">
      <alignment vertical="top" wrapText="1" shrinkToFit="1"/>
    </xf>
    <xf numFmtId="0" fontId="11" fillId="3" borderId="10" xfId="4" applyFont="1" applyFill="1" applyBorder="1" applyAlignment="1">
      <alignment vertical="top" wrapText="1" shrinkToFit="1"/>
    </xf>
    <xf numFmtId="0" fontId="25" fillId="3" borderId="64" xfId="4" applyFont="1" applyFill="1" applyBorder="1" applyAlignment="1">
      <alignment vertical="center" shrinkToFit="1"/>
    </xf>
    <xf numFmtId="0" fontId="25" fillId="3" borderId="0" xfId="4" applyFont="1" applyFill="1" applyAlignment="1">
      <alignment vertical="center" shrinkToFit="1"/>
    </xf>
    <xf numFmtId="0" fontId="8" fillId="3" borderId="102" xfId="4" applyFont="1" applyFill="1" applyBorder="1">
      <alignment vertical="center"/>
    </xf>
    <xf numFmtId="0" fontId="2" fillId="3" borderId="103" xfId="4" applyFont="1" applyFill="1" applyBorder="1">
      <alignment vertical="center"/>
    </xf>
    <xf numFmtId="0" fontId="9" fillId="3" borderId="0" xfId="4" applyFont="1" applyFill="1" applyAlignment="1">
      <alignment vertical="distributed" textRotation="255"/>
    </xf>
    <xf numFmtId="0" fontId="2" fillId="3" borderId="0" xfId="4" applyFont="1" applyFill="1">
      <alignment vertical="center"/>
    </xf>
    <xf numFmtId="0" fontId="2" fillId="3" borderId="104" xfId="4" applyFont="1" applyFill="1" applyBorder="1">
      <alignment vertical="center"/>
    </xf>
    <xf numFmtId="0" fontId="8" fillId="3" borderId="104" xfId="4" applyFont="1" applyFill="1" applyBorder="1">
      <alignment vertical="center"/>
    </xf>
    <xf numFmtId="0" fontId="8" fillId="3" borderId="11" xfId="4" applyFont="1" applyFill="1" applyBorder="1">
      <alignment vertical="center"/>
    </xf>
    <xf numFmtId="0" fontId="8" fillId="3" borderId="5" xfId="4" applyFont="1" applyFill="1" applyBorder="1">
      <alignment vertical="center"/>
    </xf>
    <xf numFmtId="0" fontId="8" fillId="3" borderId="105" xfId="4" applyFont="1" applyFill="1" applyBorder="1">
      <alignment vertical="center"/>
    </xf>
    <xf numFmtId="0" fontId="8" fillId="3" borderId="106" xfId="4" applyFont="1" applyFill="1" applyBorder="1">
      <alignment vertical="center"/>
    </xf>
    <xf numFmtId="0" fontId="26" fillId="3" borderId="0" xfId="4" applyFont="1" applyFill="1" applyAlignment="1">
      <alignment vertical="top" wrapText="1" shrinkToFit="1"/>
    </xf>
    <xf numFmtId="0" fontId="2" fillId="3" borderId="102" xfId="4" applyFont="1" applyFill="1" applyBorder="1">
      <alignment vertical="center"/>
    </xf>
    <xf numFmtId="0" fontId="2" fillId="3" borderId="109" xfId="4" applyFont="1" applyFill="1" applyBorder="1">
      <alignment vertical="center"/>
    </xf>
    <xf numFmtId="0" fontId="2" fillId="3" borderId="5" xfId="4" applyFont="1" applyFill="1" applyBorder="1">
      <alignment vertical="center"/>
    </xf>
    <xf numFmtId="0" fontId="11" fillId="3" borderId="101" xfId="4" applyFont="1" applyFill="1" applyBorder="1">
      <alignment vertical="center"/>
    </xf>
    <xf numFmtId="0" fontId="11" fillId="3" borderId="102" xfId="4" applyFont="1" applyFill="1" applyBorder="1">
      <alignment vertical="center"/>
    </xf>
    <xf numFmtId="0" fontId="8" fillId="3" borderId="147" xfId="4" applyFont="1" applyFill="1" applyBorder="1">
      <alignment vertical="center"/>
    </xf>
    <xf numFmtId="0" fontId="11" fillId="3" borderId="141" xfId="4" applyFont="1" applyFill="1" applyBorder="1">
      <alignment vertical="center"/>
    </xf>
    <xf numFmtId="0" fontId="8" fillId="3" borderId="142" xfId="4" applyFont="1" applyFill="1" applyBorder="1">
      <alignment vertical="center"/>
    </xf>
    <xf numFmtId="0" fontId="8" fillId="3" borderId="154" xfId="4" applyFont="1" applyFill="1" applyBorder="1">
      <alignment vertical="center"/>
    </xf>
    <xf numFmtId="0" fontId="29" fillId="0" borderId="0" xfId="2" applyFont="1">
      <alignment vertical="center"/>
    </xf>
    <xf numFmtId="0" fontId="30" fillId="0" borderId="0" xfId="2" applyFont="1">
      <alignment vertical="center"/>
    </xf>
    <xf numFmtId="0" fontId="30" fillId="0" borderId="0" xfId="2" applyFont="1" applyAlignment="1">
      <alignment horizontal="right"/>
    </xf>
    <xf numFmtId="0" fontId="31" fillId="4" borderId="21" xfId="2" applyFont="1" applyFill="1" applyBorder="1" applyAlignment="1">
      <alignment horizontal="center" vertical="center"/>
    </xf>
    <xf numFmtId="0" fontId="31" fillId="4" borderId="160" xfId="2" applyFont="1" applyFill="1" applyBorder="1" applyAlignment="1">
      <alignment horizontal="center" vertical="center"/>
    </xf>
    <xf numFmtId="0" fontId="31" fillId="4" borderId="161" xfId="2" applyFont="1" applyFill="1" applyBorder="1" applyAlignment="1">
      <alignment horizontal="center" vertical="center"/>
    </xf>
    <xf numFmtId="0" fontId="31" fillId="4" borderId="162" xfId="2" applyFont="1" applyFill="1" applyBorder="1" applyAlignment="1">
      <alignment horizontal="center" vertical="center"/>
    </xf>
    <xf numFmtId="0" fontId="31" fillId="4" borderId="31" xfId="2" applyFont="1" applyFill="1" applyBorder="1" applyAlignment="1">
      <alignment horizontal="center" vertical="center"/>
    </xf>
    <xf numFmtId="0" fontId="29" fillId="0" borderId="0" xfId="5" applyFont="1" applyAlignment="1">
      <alignment vertical="top"/>
    </xf>
    <xf numFmtId="0" fontId="33" fillId="0" borderId="0" xfId="5" applyFont="1" applyAlignment="1">
      <alignment wrapText="1"/>
    </xf>
    <xf numFmtId="0" fontId="5" fillId="0" borderId="0" xfId="5"/>
    <xf numFmtId="0" fontId="33" fillId="5" borderId="42" xfId="5" applyFont="1" applyFill="1" applyBorder="1" applyAlignment="1">
      <alignment horizontal="center" vertical="center" wrapText="1"/>
    </xf>
    <xf numFmtId="0" fontId="33" fillId="5" borderId="166" xfId="5" applyFont="1" applyFill="1" applyBorder="1" applyAlignment="1">
      <alignment horizontal="center" vertical="center" wrapText="1"/>
    </xf>
    <xf numFmtId="0" fontId="33" fillId="0" borderId="167" xfId="5" applyFont="1" applyBorder="1" applyAlignment="1">
      <alignment horizontal="center" vertical="center" wrapText="1"/>
    </xf>
    <xf numFmtId="49" fontId="34" fillId="5" borderId="168" xfId="5" applyNumberFormat="1" applyFont="1" applyFill="1" applyBorder="1" applyAlignment="1">
      <alignment horizontal="center" vertical="center"/>
    </xf>
    <xf numFmtId="49" fontId="34" fillId="5" borderId="5" xfId="5" applyNumberFormat="1" applyFont="1" applyFill="1" applyBorder="1" applyAlignment="1">
      <alignment horizontal="left" vertical="center"/>
    </xf>
    <xf numFmtId="0" fontId="35" fillId="0" borderId="169" xfId="5" applyFont="1" applyBorder="1" applyAlignment="1">
      <alignment horizontal="left" vertical="center" wrapText="1"/>
    </xf>
    <xf numFmtId="49" fontId="34" fillId="5" borderId="170" xfId="5" applyNumberFormat="1" applyFont="1" applyFill="1" applyBorder="1" applyAlignment="1">
      <alignment horizontal="center" vertical="center"/>
    </xf>
    <xf numFmtId="49" fontId="34" fillId="5" borderId="2" xfId="5" applyNumberFormat="1" applyFont="1" applyFill="1" applyBorder="1" applyAlignment="1">
      <alignment horizontal="left" vertical="center"/>
    </xf>
    <xf numFmtId="0" fontId="35" fillId="0" borderId="171" xfId="5" applyFont="1" applyBorder="1" applyAlignment="1">
      <alignment horizontal="left" vertical="center" wrapText="1"/>
    </xf>
    <xf numFmtId="49" fontId="34" fillId="5" borderId="172" xfId="5" applyNumberFormat="1" applyFont="1" applyFill="1" applyBorder="1" applyAlignment="1">
      <alignment horizontal="center" vertical="center"/>
    </xf>
    <xf numFmtId="49" fontId="34" fillId="5" borderId="4" xfId="5" applyNumberFormat="1" applyFont="1" applyFill="1" applyBorder="1" applyAlignment="1">
      <alignment horizontal="left" vertical="center"/>
    </xf>
    <xf numFmtId="0" fontId="35" fillId="0" borderId="173" xfId="5" applyFont="1" applyBorder="1" applyAlignment="1">
      <alignment horizontal="left" vertical="center" wrapText="1"/>
    </xf>
    <xf numFmtId="49" fontId="34" fillId="5" borderId="174" xfId="5" applyNumberFormat="1" applyFont="1" applyFill="1" applyBorder="1" applyAlignment="1">
      <alignment horizontal="center" vertical="center"/>
    </xf>
    <xf numFmtId="49" fontId="34" fillId="5" borderId="0" xfId="5" applyNumberFormat="1" applyFont="1" applyFill="1" applyAlignment="1">
      <alignment horizontal="left" vertical="center"/>
    </xf>
    <xf numFmtId="0" fontId="35" fillId="0" borderId="175" xfId="5" applyFont="1" applyBorder="1" applyAlignment="1">
      <alignment horizontal="left" vertical="center" wrapText="1"/>
    </xf>
    <xf numFmtId="49" fontId="34" fillId="5" borderId="176" xfId="5" applyNumberFormat="1" applyFont="1" applyFill="1" applyBorder="1" applyAlignment="1">
      <alignment horizontal="center" vertical="center"/>
    </xf>
    <xf numFmtId="49" fontId="34" fillId="5" borderId="177" xfId="5" applyNumberFormat="1" applyFont="1" applyFill="1" applyBorder="1" applyAlignment="1">
      <alignment horizontal="left" vertical="center"/>
    </xf>
    <xf numFmtId="0" fontId="35" fillId="0" borderId="29" xfId="5" applyFont="1" applyBorder="1" applyAlignment="1">
      <alignment horizontal="left" vertical="center" wrapText="1"/>
    </xf>
    <xf numFmtId="0" fontId="5" fillId="0" borderId="0" xfId="5" applyAlignment="1">
      <alignment wrapText="1"/>
    </xf>
    <xf numFmtId="49" fontId="8" fillId="0" borderId="0" xfId="4" applyNumberFormat="1" applyFont="1">
      <alignment vertical="center"/>
    </xf>
    <xf numFmtId="0" fontId="38" fillId="0" borderId="0" xfId="0" applyFont="1" applyAlignment="1">
      <alignment vertical="center"/>
    </xf>
    <xf numFmtId="49" fontId="38" fillId="0" borderId="0" xfId="4" applyNumberFormat="1" applyFont="1">
      <alignment vertical="center"/>
    </xf>
    <xf numFmtId="38" fontId="38" fillId="0" borderId="0" xfId="1" applyFont="1" applyAlignment="1">
      <alignment vertical="center" shrinkToFit="1"/>
    </xf>
    <xf numFmtId="49" fontId="39" fillId="0" borderId="0" xfId="4" applyNumberFormat="1" applyFont="1">
      <alignment vertical="center"/>
    </xf>
    <xf numFmtId="0" fontId="39" fillId="0" borderId="0" xfId="4" applyFont="1">
      <alignment vertical="center"/>
    </xf>
    <xf numFmtId="0" fontId="8" fillId="0" borderId="178" xfId="4" applyFont="1" applyBorder="1">
      <alignment vertical="center"/>
    </xf>
    <xf numFmtId="0" fontId="8" fillId="0" borderId="0" xfId="4" applyFont="1">
      <alignment vertical="center"/>
    </xf>
    <xf numFmtId="0" fontId="41" fillId="0" borderId="0" xfId="2" applyFont="1">
      <alignment vertical="center"/>
    </xf>
    <xf numFmtId="0" fontId="41" fillId="0" borderId="178" xfId="2" applyFont="1" applyBorder="1" applyAlignment="1">
      <alignment horizontal="center" vertical="center"/>
    </xf>
    <xf numFmtId="0" fontId="41" fillId="0" borderId="178" xfId="2" applyFont="1" applyBorder="1" applyAlignment="1">
      <alignment horizontal="center" vertical="center" wrapText="1"/>
    </xf>
    <xf numFmtId="0" fontId="41" fillId="0" borderId="0" xfId="2" applyFont="1" applyFill="1" applyBorder="1" applyAlignment="1" applyProtection="1">
      <alignment horizontal="left" vertical="center" wrapText="1"/>
    </xf>
    <xf numFmtId="0" fontId="7" fillId="0" borderId="0" xfId="0" applyFont="1" applyAlignment="1">
      <alignment vertical="center"/>
    </xf>
    <xf numFmtId="0" fontId="41" fillId="0" borderId="11" xfId="2" applyFont="1" applyBorder="1" applyAlignment="1">
      <alignment horizontal="right" vertical="center"/>
    </xf>
    <xf numFmtId="0" fontId="41" fillId="2" borderId="5" xfId="2" applyFont="1" applyFill="1" applyBorder="1" applyAlignment="1" applyProtection="1">
      <alignment horizontal="center" vertical="center"/>
      <protection locked="0"/>
    </xf>
    <xf numFmtId="0" fontId="41" fillId="0" borderId="13" xfId="2" applyFont="1" applyBorder="1" applyAlignment="1">
      <alignment horizontal="left" vertical="center"/>
    </xf>
    <xf numFmtId="179" fontId="41" fillId="2" borderId="1" xfId="2" applyNumberFormat="1" applyFont="1" applyFill="1" applyBorder="1" applyProtection="1">
      <alignment vertical="center"/>
      <protection locked="0"/>
    </xf>
    <xf numFmtId="0" fontId="41" fillId="0" borderId="2" xfId="2" applyFont="1" applyBorder="1" applyAlignment="1">
      <alignment horizontal="center" vertical="center"/>
    </xf>
    <xf numFmtId="179" fontId="41" fillId="2" borderId="3" xfId="2" applyNumberFormat="1" applyFont="1" applyFill="1" applyBorder="1" applyAlignment="1" applyProtection="1">
      <alignment horizontal="center" vertical="center"/>
      <protection locked="0"/>
    </xf>
    <xf numFmtId="0" fontId="7" fillId="0" borderId="0" xfId="0" applyFont="1" applyAlignment="1">
      <alignment horizontal="center" vertical="center"/>
    </xf>
    <xf numFmtId="0" fontId="41" fillId="0" borderId="160" xfId="2" applyFont="1" applyFill="1" applyBorder="1" applyAlignment="1">
      <alignment horizontal="center" vertical="center"/>
    </xf>
    <xf numFmtId="0" fontId="41" fillId="0" borderId="160" xfId="2" applyFont="1" applyFill="1" applyBorder="1" applyAlignment="1">
      <alignment horizontal="left" vertical="center"/>
    </xf>
    <xf numFmtId="176" fontId="41" fillId="0" borderId="160" xfId="3" applyNumberFormat="1" applyFont="1" applyFill="1" applyBorder="1" applyAlignment="1">
      <alignment horizontal="right" vertical="center"/>
    </xf>
    <xf numFmtId="186" fontId="41" fillId="0" borderId="0" xfId="2" applyNumberFormat="1" applyFont="1" applyFill="1" applyBorder="1" applyAlignment="1" applyProtection="1">
      <alignment horizontal="center" vertical="center"/>
    </xf>
    <xf numFmtId="49" fontId="41" fillId="0" borderId="0" xfId="2" applyNumberFormat="1" applyFont="1" applyFill="1" applyBorder="1" applyAlignment="1" applyProtection="1">
      <alignment horizontal="center" vertical="center"/>
    </xf>
    <xf numFmtId="179" fontId="41" fillId="0" borderId="160" xfId="2" applyNumberFormat="1" applyFont="1" applyFill="1" applyBorder="1" applyAlignment="1" applyProtection="1">
      <alignment horizontal="center" vertical="center"/>
    </xf>
    <xf numFmtId="176" fontId="41" fillId="0" borderId="160" xfId="3" applyNumberFormat="1" applyFont="1" applyFill="1" applyBorder="1" applyAlignment="1" applyProtection="1">
      <alignment horizontal="right" vertical="center"/>
    </xf>
    <xf numFmtId="0" fontId="41" fillId="0" borderId="0" xfId="2" applyFont="1" applyBorder="1">
      <alignment vertical="center"/>
    </xf>
    <xf numFmtId="0" fontId="44" fillId="0" borderId="5" xfId="2" applyFont="1" applyBorder="1" applyAlignment="1">
      <alignment horizontal="left" vertical="center" wrapText="1"/>
    </xf>
    <xf numFmtId="49" fontId="41" fillId="0" borderId="2" xfId="2" applyNumberFormat="1" applyFont="1" applyFill="1" applyBorder="1" applyAlignment="1" applyProtection="1">
      <alignment horizontal="center" vertical="center"/>
    </xf>
    <xf numFmtId="49" fontId="41" fillId="0" borderId="5" xfId="2" applyNumberFormat="1" applyFont="1" applyFill="1" applyBorder="1" applyAlignment="1" applyProtection="1">
      <alignment horizontal="center" vertical="center"/>
    </xf>
    <xf numFmtId="0" fontId="47" fillId="0" borderId="0" xfId="0" applyFont="1" applyAlignment="1">
      <alignment vertical="center"/>
    </xf>
    <xf numFmtId="0" fontId="47" fillId="0" borderId="0" xfId="0" applyFont="1" applyAlignment="1">
      <alignment horizontal="right" vertical="center"/>
    </xf>
    <xf numFmtId="183" fontId="48" fillId="0" borderId="21" xfId="0" applyNumberFormat="1" applyFont="1" applyBorder="1" applyAlignment="1">
      <alignment vertical="center"/>
    </xf>
    <xf numFmtId="180" fontId="48" fillId="0" borderId="21" xfId="0" applyNumberFormat="1" applyFont="1" applyBorder="1" applyAlignment="1">
      <alignment vertical="center"/>
    </xf>
    <xf numFmtId="0" fontId="47" fillId="0" borderId="27" xfId="0" applyFont="1" applyBorder="1" applyAlignment="1">
      <alignment horizontal="center" vertical="center" wrapText="1"/>
    </xf>
    <xf numFmtId="0" fontId="47" fillId="0" borderId="28" xfId="0" applyFont="1" applyBorder="1" applyAlignment="1">
      <alignment horizontal="center" vertical="center" wrapText="1"/>
    </xf>
    <xf numFmtId="0" fontId="47" fillId="0" borderId="28" xfId="0" applyFont="1" applyBorder="1" applyAlignment="1">
      <alignment horizontal="center" vertical="center"/>
    </xf>
    <xf numFmtId="0" fontId="47" fillId="0" borderId="30" xfId="0" applyFont="1" applyBorder="1" applyAlignment="1">
      <alignment vertical="center"/>
    </xf>
    <xf numFmtId="0" fontId="47" fillId="0" borderId="34" xfId="0" applyFont="1" applyBorder="1" applyAlignment="1">
      <alignment vertical="center"/>
    </xf>
    <xf numFmtId="0" fontId="50" fillId="0" borderId="23" xfId="0" applyFont="1" applyBorder="1" applyAlignment="1">
      <alignment horizontal="center" vertical="center"/>
    </xf>
    <xf numFmtId="187" fontId="49" fillId="0" borderId="32" xfId="0" applyNumberFormat="1" applyFont="1" applyBorder="1" applyAlignment="1">
      <alignment vertical="center"/>
    </xf>
    <xf numFmtId="187" fontId="49" fillId="0" borderId="39" xfId="0" applyNumberFormat="1" applyFont="1" applyBorder="1" applyAlignment="1">
      <alignment vertical="center"/>
    </xf>
    <xf numFmtId="187" fontId="49" fillId="0" borderId="40" xfId="0" applyNumberFormat="1" applyFont="1" applyBorder="1" applyAlignment="1">
      <alignment vertical="center"/>
    </xf>
    <xf numFmtId="0" fontId="47" fillId="0" borderId="41" xfId="0" applyFont="1" applyBorder="1" applyAlignment="1">
      <alignment horizontal="center" vertical="center"/>
    </xf>
    <xf numFmtId="178" fontId="49" fillId="0" borderId="42" xfId="0" applyNumberFormat="1" applyFont="1" applyBorder="1" applyAlignment="1">
      <alignment vertical="center"/>
    </xf>
    <xf numFmtId="178" fontId="49" fillId="0" borderId="43" xfId="0" applyNumberFormat="1" applyFont="1" applyBorder="1" applyAlignment="1">
      <alignment vertical="center"/>
    </xf>
    <xf numFmtId="0" fontId="49" fillId="0" borderId="44" xfId="0" applyFont="1" applyBorder="1" applyAlignment="1">
      <alignment vertical="center"/>
    </xf>
    <xf numFmtId="0" fontId="47" fillId="0" borderId="47" xfId="0" applyFont="1" applyBorder="1" applyAlignment="1">
      <alignment horizontal="center" vertical="center"/>
    </xf>
    <xf numFmtId="178" fontId="49" fillId="0" borderId="48" xfId="0" applyNumberFormat="1" applyFont="1" applyBorder="1" applyAlignment="1">
      <alignment vertical="center"/>
    </xf>
    <xf numFmtId="178" fontId="49" fillId="0" borderId="49" xfId="0" applyNumberFormat="1" applyFont="1" applyBorder="1" applyAlignment="1">
      <alignment vertical="center"/>
    </xf>
    <xf numFmtId="0" fontId="49" fillId="0" borderId="50" xfId="0" applyFont="1" applyBorder="1" applyAlignment="1">
      <alignment vertical="center"/>
    </xf>
    <xf numFmtId="0" fontId="51" fillId="0" borderId="0" xfId="0" applyFont="1" applyAlignment="1">
      <alignment vertical="center"/>
    </xf>
    <xf numFmtId="187" fontId="52" fillId="2" borderId="13" xfId="0" applyNumberFormat="1" applyFont="1" applyFill="1" applyBorder="1" applyAlignment="1" applyProtection="1">
      <alignment vertical="center"/>
      <protection locked="0"/>
    </xf>
    <xf numFmtId="187" fontId="52" fillId="2" borderId="31" xfId="0" applyNumberFormat="1" applyFont="1" applyFill="1" applyBorder="1" applyAlignment="1" applyProtection="1">
      <alignment vertical="center"/>
      <protection locked="0"/>
    </xf>
    <xf numFmtId="187" fontId="52" fillId="2" borderId="11" xfId="0" applyNumberFormat="1" applyFont="1" applyFill="1" applyBorder="1" applyAlignment="1" applyProtection="1">
      <alignment vertical="center"/>
      <protection locked="0"/>
    </xf>
    <xf numFmtId="0" fontId="47" fillId="0" borderId="0" xfId="0" applyFont="1" applyAlignment="1" applyProtection="1">
      <alignment vertical="center"/>
    </xf>
    <xf numFmtId="0" fontId="54" fillId="0" borderId="7" xfId="0" applyFont="1" applyBorder="1" applyAlignment="1" applyProtection="1">
      <alignment vertical="center"/>
    </xf>
    <xf numFmtId="0" fontId="54" fillId="0" borderId="4" xfId="0" applyFont="1" applyBorder="1" applyAlignment="1" applyProtection="1">
      <alignment vertical="center"/>
    </xf>
    <xf numFmtId="0" fontId="54" fillId="0" borderId="8" xfId="0" applyFont="1" applyBorder="1" applyAlignment="1" applyProtection="1">
      <alignment vertical="center"/>
    </xf>
    <xf numFmtId="0" fontId="54" fillId="0" borderId="0" xfId="0" applyFont="1" applyAlignment="1" applyProtection="1">
      <alignment vertical="center"/>
    </xf>
    <xf numFmtId="0" fontId="54" fillId="0" borderId="9" xfId="0" applyFont="1" applyBorder="1" applyAlignment="1" applyProtection="1">
      <alignment vertical="center"/>
    </xf>
    <xf numFmtId="0" fontId="54" fillId="0" borderId="0" xfId="0" applyFont="1" applyBorder="1" applyAlignment="1" applyProtection="1">
      <alignment vertical="center"/>
    </xf>
    <xf numFmtId="0" fontId="54" fillId="0" borderId="10" xfId="0" applyFont="1" applyBorder="1" applyAlignment="1" applyProtection="1">
      <alignment vertical="center"/>
    </xf>
    <xf numFmtId="0" fontId="54" fillId="0" borderId="8" xfId="0" applyFont="1" applyBorder="1" applyAlignment="1" applyProtection="1">
      <alignment horizontal="center" vertical="center"/>
    </xf>
    <xf numFmtId="0" fontId="54" fillId="0" borderId="16" xfId="0" applyFont="1" applyBorder="1" applyAlignment="1" applyProtection="1">
      <alignment horizontal="center" vertical="center"/>
    </xf>
    <xf numFmtId="0" fontId="54" fillId="0" borderId="17" xfId="0" applyFont="1" applyBorder="1" applyAlignment="1" applyProtection="1">
      <alignment horizontal="center" vertical="center"/>
    </xf>
    <xf numFmtId="0" fontId="54" fillId="0" borderId="18" xfId="0" applyFont="1" applyBorder="1" applyAlignment="1" applyProtection="1">
      <alignment horizontal="center" vertical="center"/>
    </xf>
    <xf numFmtId="0" fontId="54" fillId="0" borderId="10" xfId="0" applyFont="1" applyBorder="1" applyAlignment="1" applyProtection="1">
      <alignment horizontal="center" vertical="center"/>
    </xf>
    <xf numFmtId="181" fontId="54" fillId="0" borderId="0" xfId="0" applyNumberFormat="1" applyFont="1" applyFill="1" applyBorder="1" applyAlignment="1" applyProtection="1">
      <alignment vertical="center"/>
    </xf>
    <xf numFmtId="0" fontId="54" fillId="0" borderId="3" xfId="0" applyFont="1" applyBorder="1" applyAlignment="1" applyProtection="1">
      <alignment horizontal="center" vertical="center"/>
    </xf>
    <xf numFmtId="182" fontId="54" fillId="0" borderId="0" xfId="0" applyNumberFormat="1" applyFont="1" applyFill="1" applyBorder="1" applyAlignment="1" applyProtection="1">
      <alignment vertical="center"/>
    </xf>
    <xf numFmtId="0" fontId="54" fillId="0" borderId="11" xfId="0" applyFont="1" applyBorder="1" applyAlignment="1" applyProtection="1">
      <alignment vertical="center"/>
    </xf>
    <xf numFmtId="0" fontId="54" fillId="0" borderId="5" xfId="0" applyFont="1" applyBorder="1" applyAlignment="1" applyProtection="1">
      <alignment vertical="center"/>
    </xf>
    <xf numFmtId="0" fontId="8" fillId="0" borderId="0" xfId="4" applyFont="1" applyBorder="1">
      <alignment vertical="center"/>
    </xf>
    <xf numFmtId="0" fontId="8" fillId="3" borderId="0" xfId="4" applyFont="1" applyFill="1" applyBorder="1">
      <alignment vertical="center"/>
    </xf>
    <xf numFmtId="0" fontId="15" fillId="3" borderId="0" xfId="4" applyFont="1" applyFill="1" applyBorder="1" applyAlignment="1">
      <alignment horizontal="right" vertical="center"/>
    </xf>
    <xf numFmtId="0" fontId="7" fillId="3" borderId="0" xfId="4" applyFill="1" applyBorder="1">
      <alignment vertical="center"/>
    </xf>
    <xf numFmtId="0" fontId="18" fillId="3" borderId="0" xfId="4" applyFont="1" applyFill="1" applyBorder="1" applyAlignment="1">
      <alignment horizontal="center" vertical="center" shrinkToFit="1"/>
    </xf>
    <xf numFmtId="0" fontId="7" fillId="3" borderId="0" xfId="4" applyFill="1" applyBorder="1" applyAlignment="1">
      <alignment horizontal="center" vertical="center"/>
    </xf>
    <xf numFmtId="0" fontId="20" fillId="3" borderId="0" xfId="4" applyFont="1" applyFill="1" applyBorder="1" applyAlignment="1"/>
    <xf numFmtId="0" fontId="24" fillId="3" borderId="0" xfId="4" applyFont="1" applyFill="1" applyBorder="1" applyAlignment="1"/>
    <xf numFmtId="0" fontId="9" fillId="3" borderId="0" xfId="4" applyFont="1" applyFill="1" applyBorder="1" applyAlignment="1">
      <alignment vertical="distributed" textRotation="255"/>
    </xf>
    <xf numFmtId="0" fontId="8" fillId="0" borderId="31" xfId="4" applyFont="1" applyBorder="1">
      <alignment vertical="center"/>
    </xf>
    <xf numFmtId="49" fontId="38" fillId="0" borderId="0" xfId="4" applyNumberFormat="1" applyFont="1" applyBorder="1">
      <alignment vertical="center"/>
    </xf>
    <xf numFmtId="0" fontId="38" fillId="0" borderId="0" xfId="4" applyFont="1" applyBorder="1">
      <alignment vertical="center"/>
    </xf>
    <xf numFmtId="0" fontId="38" fillId="0" borderId="0" xfId="0" applyFont="1" applyBorder="1" applyAlignment="1">
      <alignment horizontal="center" vertical="center"/>
    </xf>
    <xf numFmtId="0" fontId="8" fillId="0" borderId="11" xfId="4" applyFont="1" applyBorder="1">
      <alignment vertical="center"/>
    </xf>
    <xf numFmtId="49" fontId="8" fillId="0" borderId="0" xfId="4" applyNumberFormat="1" applyFont="1" applyBorder="1">
      <alignment vertical="center"/>
    </xf>
    <xf numFmtId="0" fontId="8" fillId="0" borderId="1" xfId="4" applyFont="1" applyBorder="1">
      <alignment vertical="center"/>
    </xf>
    <xf numFmtId="0" fontId="45" fillId="6" borderId="178" xfId="2" applyFont="1" applyFill="1" applyBorder="1" applyAlignment="1">
      <alignment horizontal="center" vertical="center"/>
    </xf>
    <xf numFmtId="179" fontId="41" fillId="6" borderId="1" xfId="2" applyNumberFormat="1" applyFont="1" applyFill="1" applyBorder="1" applyAlignment="1" applyProtection="1">
      <alignment horizontal="center" vertical="center"/>
    </xf>
    <xf numFmtId="0" fontId="41" fillId="6" borderId="2" xfId="2" applyFont="1" applyFill="1" applyBorder="1" applyAlignment="1" applyProtection="1">
      <alignment horizontal="center" vertical="center"/>
    </xf>
    <xf numFmtId="179" fontId="41" fillId="6" borderId="3" xfId="2" applyNumberFormat="1" applyFont="1" applyFill="1" applyBorder="1" applyAlignment="1" applyProtection="1">
      <alignment horizontal="center" vertical="center"/>
    </xf>
    <xf numFmtId="179" fontId="41" fillId="0" borderId="1" xfId="2" applyNumberFormat="1" applyFont="1" applyFill="1" applyBorder="1" applyProtection="1">
      <alignment vertical="center"/>
    </xf>
    <xf numFmtId="0" fontId="41" fillId="0" borderId="2" xfId="2" applyFont="1" applyFill="1" applyBorder="1" applyAlignment="1" applyProtection="1">
      <alignment horizontal="center" vertical="center"/>
    </xf>
    <xf numFmtId="179" fontId="41" fillId="0" borderId="3" xfId="2" applyNumberFormat="1" applyFont="1" applyFill="1" applyBorder="1" applyAlignment="1" applyProtection="1">
      <alignment horizontal="center" vertical="center"/>
    </xf>
    <xf numFmtId="0" fontId="41" fillId="0" borderId="0" xfId="2" applyFont="1">
      <alignment vertical="center"/>
    </xf>
    <xf numFmtId="0" fontId="8" fillId="0" borderId="0" xfId="4" applyFont="1">
      <alignment vertical="center"/>
    </xf>
    <xf numFmtId="0" fontId="8" fillId="3" borderId="4" xfId="4" applyFont="1" applyFill="1" applyBorder="1" applyAlignment="1">
      <alignment vertical="center"/>
    </xf>
    <xf numFmtId="0" fontId="2" fillId="3" borderId="4" xfId="4" applyFont="1" applyFill="1" applyBorder="1" applyAlignment="1">
      <alignment vertical="center"/>
    </xf>
    <xf numFmtId="0" fontId="37" fillId="3" borderId="7" xfId="4" applyFont="1" applyFill="1" applyBorder="1" applyAlignment="1">
      <alignment horizontal="center" vertical="center"/>
    </xf>
    <xf numFmtId="0" fontId="37" fillId="3" borderId="4" xfId="4" applyFont="1" applyFill="1" applyBorder="1" applyAlignment="1">
      <alignment horizontal="center" vertical="center"/>
    </xf>
    <xf numFmtId="0" fontId="37" fillId="3" borderId="54" xfId="4" applyFont="1" applyFill="1" applyBorder="1" applyAlignment="1">
      <alignment horizontal="center" vertical="center"/>
    </xf>
    <xf numFmtId="0" fontId="10" fillId="3" borderId="4" xfId="4" applyFont="1" applyFill="1" applyBorder="1" applyAlignment="1">
      <alignment horizontal="right" vertical="top" shrinkToFit="1"/>
    </xf>
    <xf numFmtId="0" fontId="10" fillId="3" borderId="54" xfId="4" applyFont="1" applyFill="1" applyBorder="1" applyAlignment="1">
      <alignment horizontal="right" vertical="top" shrinkToFit="1"/>
    </xf>
    <xf numFmtId="0" fontId="10" fillId="3" borderId="8" xfId="4" applyFont="1" applyFill="1" applyBorder="1" applyAlignment="1">
      <alignment horizontal="right" vertical="top" shrinkToFit="1"/>
    </xf>
    <xf numFmtId="0" fontId="10" fillId="3" borderId="53" xfId="4" applyFont="1" applyFill="1" applyBorder="1" applyAlignment="1">
      <alignment horizontal="right" vertical="top" shrinkToFit="1"/>
    </xf>
    <xf numFmtId="0" fontId="8" fillId="3" borderId="183" xfId="4" applyFont="1" applyFill="1" applyBorder="1">
      <alignment vertical="center"/>
    </xf>
    <xf numFmtId="0" fontId="8" fillId="3" borderId="157" xfId="4" applyFont="1" applyFill="1" applyBorder="1">
      <alignment vertical="center"/>
    </xf>
    <xf numFmtId="0" fontId="8" fillId="3" borderId="158" xfId="4" applyFont="1" applyFill="1" applyBorder="1">
      <alignment vertical="center"/>
    </xf>
    <xf numFmtId="0" fontId="60" fillId="0" borderId="0" xfId="2" applyFont="1">
      <alignment vertical="center"/>
    </xf>
    <xf numFmtId="0" fontId="41" fillId="0" borderId="0" xfId="2" applyFont="1" applyBorder="1" applyAlignment="1">
      <alignment vertical="top" wrapText="1"/>
    </xf>
    <xf numFmtId="0" fontId="41" fillId="0" borderId="1" xfId="2" applyFont="1" applyBorder="1" applyAlignment="1">
      <alignment horizontal="center" vertical="center"/>
    </xf>
    <xf numFmtId="0" fontId="41" fillId="0" borderId="3" xfId="2" applyFont="1" applyBorder="1" applyAlignment="1">
      <alignment horizontal="center" vertical="center"/>
    </xf>
    <xf numFmtId="186" fontId="41" fillId="2" borderId="178" xfId="2" applyNumberFormat="1" applyFont="1" applyFill="1" applyBorder="1" applyAlignment="1" applyProtection="1">
      <alignment horizontal="center" vertical="center"/>
      <protection locked="0"/>
    </xf>
    <xf numFmtId="0" fontId="44" fillId="0" borderId="7" xfId="2" applyFont="1" applyBorder="1" applyAlignment="1">
      <alignment vertical="center" wrapText="1"/>
    </xf>
    <xf numFmtId="0" fontId="44" fillId="0" borderId="4" xfId="2" applyFont="1" applyBorder="1" applyAlignment="1">
      <alignment vertical="center" wrapText="1"/>
    </xf>
    <xf numFmtId="186" fontId="41" fillId="6" borderId="9" xfId="2" applyNumberFormat="1" applyFont="1" applyFill="1" applyBorder="1" applyAlignment="1" applyProtection="1">
      <alignment vertical="center"/>
    </xf>
    <xf numFmtId="186" fontId="41" fillId="6" borderId="0" xfId="2" applyNumberFormat="1" applyFont="1" applyFill="1" applyBorder="1" applyAlignment="1" applyProtection="1">
      <alignment vertical="center"/>
    </xf>
    <xf numFmtId="176" fontId="41" fillId="2" borderId="178" xfId="3" applyNumberFormat="1" applyFont="1" applyFill="1" applyBorder="1" applyAlignment="1" applyProtection="1">
      <alignment horizontal="right" vertical="center"/>
      <protection locked="0"/>
    </xf>
    <xf numFmtId="176" fontId="41" fillId="0" borderId="178" xfId="3" applyNumberFormat="1" applyFont="1" applyBorder="1" applyAlignment="1">
      <alignment horizontal="right" vertical="center"/>
    </xf>
    <xf numFmtId="0" fontId="41" fillId="0" borderId="178" xfId="2" applyFont="1" applyBorder="1" applyAlignment="1">
      <alignment horizontal="center" vertical="center" wrapText="1"/>
    </xf>
    <xf numFmtId="0" fontId="41" fillId="0" borderId="178" xfId="2" applyFont="1" applyBorder="1" applyAlignment="1">
      <alignment horizontal="center" vertical="center"/>
    </xf>
    <xf numFmtId="0" fontId="41" fillId="0" borderId="0" xfId="2" applyFont="1" applyAlignment="1">
      <alignment vertical="center" wrapText="1"/>
    </xf>
    <xf numFmtId="0" fontId="41" fillId="0" borderId="0" xfId="2" applyFont="1">
      <alignment vertical="center"/>
    </xf>
    <xf numFmtId="0" fontId="43" fillId="0" borderId="178" xfId="2" applyFont="1" applyBorder="1" applyAlignment="1">
      <alignment horizontal="center" vertical="center"/>
    </xf>
    <xf numFmtId="0" fontId="41" fillId="2" borderId="178" xfId="2" applyFont="1" applyFill="1" applyBorder="1" applyAlignment="1" applyProtection="1">
      <alignment horizontal="left" vertical="center" wrapText="1"/>
      <protection locked="0"/>
    </xf>
    <xf numFmtId="0" fontId="41" fillId="0" borderId="31" xfId="2" applyFont="1" applyBorder="1" applyAlignment="1">
      <alignment horizontal="center" vertical="center"/>
    </xf>
    <xf numFmtId="49" fontId="41" fillId="2" borderId="31" xfId="2" applyNumberFormat="1" applyFont="1" applyFill="1" applyBorder="1" applyAlignment="1" applyProtection="1">
      <alignment horizontal="center" vertical="center"/>
      <protection locked="0"/>
    </xf>
    <xf numFmtId="0" fontId="42" fillId="0" borderId="0" xfId="2" applyFont="1" applyAlignment="1">
      <alignment horizontal="left" vertical="center" wrapText="1"/>
    </xf>
    <xf numFmtId="0" fontId="41" fillId="0" borderId="21" xfId="2" applyFont="1" applyBorder="1" applyAlignment="1">
      <alignment horizontal="center" vertical="center"/>
    </xf>
    <xf numFmtId="0" fontId="47" fillId="0" borderId="1" xfId="0" applyFont="1" applyBorder="1" applyAlignment="1">
      <alignment horizontal="center" vertical="center" wrapText="1"/>
    </xf>
    <xf numFmtId="0" fontId="47" fillId="0" borderId="3" xfId="0" applyFont="1" applyBorder="1" applyAlignment="1">
      <alignment horizontal="center" vertical="center" wrapText="1"/>
    </xf>
    <xf numFmtId="0" fontId="48" fillId="0" borderId="1" xfId="0" quotePrefix="1" applyNumberFormat="1" applyFont="1" applyBorder="1" applyAlignment="1">
      <alignment horizontal="left" vertical="center" wrapText="1" indent="1"/>
    </xf>
    <xf numFmtId="0" fontId="48" fillId="0" borderId="2" xfId="0" applyNumberFormat="1" applyFont="1" applyBorder="1" applyAlignment="1">
      <alignment horizontal="left" vertical="center" wrapText="1" indent="1"/>
    </xf>
    <xf numFmtId="0" fontId="48" fillId="0" borderId="3" xfId="0" applyNumberFormat="1" applyFont="1" applyBorder="1" applyAlignment="1">
      <alignment horizontal="left" vertical="center" wrapText="1" indent="1"/>
    </xf>
    <xf numFmtId="0" fontId="47" fillId="0" borderId="1" xfId="0" applyFont="1" applyBorder="1" applyAlignment="1">
      <alignment horizontal="center" vertical="center"/>
    </xf>
    <xf numFmtId="0" fontId="47" fillId="0" borderId="3" xfId="0" applyFont="1" applyBorder="1" applyAlignment="1">
      <alignment horizontal="center" vertical="center"/>
    </xf>
    <xf numFmtId="0" fontId="49" fillId="0" borderId="1" xfId="0" applyFont="1" applyBorder="1" applyAlignment="1" applyProtection="1">
      <alignment horizontal="left" vertical="center" wrapText="1" indent="1"/>
      <protection locked="0"/>
    </xf>
    <xf numFmtId="0" fontId="49" fillId="0" borderId="2" xfId="0" applyFont="1" applyBorder="1" applyAlignment="1" applyProtection="1">
      <alignment horizontal="left" vertical="center" wrapText="1" indent="1"/>
      <protection locked="0"/>
    </xf>
    <xf numFmtId="0" fontId="49" fillId="0" borderId="3" xfId="0" applyFont="1" applyBorder="1" applyAlignment="1" applyProtection="1">
      <alignment horizontal="left" vertical="center" wrapText="1" indent="1"/>
      <protection locked="0"/>
    </xf>
    <xf numFmtId="0" fontId="47" fillId="0" borderId="22" xfId="0" applyFont="1" applyBorder="1" applyAlignment="1">
      <alignment horizontal="center" vertical="center"/>
    </xf>
    <xf numFmtId="0" fontId="47" fillId="0" borderId="26" xfId="0" applyFont="1" applyBorder="1" applyAlignment="1">
      <alignment horizontal="center" vertical="center"/>
    </xf>
    <xf numFmtId="0" fontId="47" fillId="0" borderId="23" xfId="0" applyFont="1" applyBorder="1" applyAlignment="1">
      <alignment horizontal="center" vertical="center"/>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47" fillId="0" borderId="28" xfId="0" applyFont="1" applyBorder="1" applyAlignment="1">
      <alignment horizontal="center" vertical="center"/>
    </xf>
    <xf numFmtId="0" fontId="47" fillId="0" borderId="29" xfId="0" applyFont="1" applyBorder="1" applyAlignment="1">
      <alignment horizontal="center" vertical="center"/>
    </xf>
    <xf numFmtId="187" fontId="49" fillId="0" borderId="35" xfId="0" applyNumberFormat="1" applyFont="1" applyBorder="1" applyAlignment="1">
      <alignment vertical="center"/>
    </xf>
    <xf numFmtId="187" fontId="49" fillId="0" borderId="36" xfId="0" applyNumberFormat="1" applyFont="1" applyBorder="1" applyAlignment="1">
      <alignment vertical="center"/>
    </xf>
    <xf numFmtId="187" fontId="49" fillId="0" borderId="32" xfId="0" applyNumberFormat="1" applyFont="1" applyBorder="1" applyAlignment="1">
      <alignment vertical="center"/>
    </xf>
    <xf numFmtId="187" fontId="49" fillId="0" borderId="33" xfId="0" applyNumberFormat="1" applyFont="1" applyBorder="1" applyAlignment="1">
      <alignment vertical="center"/>
    </xf>
    <xf numFmtId="187" fontId="49" fillId="0" borderId="37" xfId="0" applyNumberFormat="1" applyFont="1" applyBorder="1" applyAlignment="1">
      <alignment vertical="center"/>
    </xf>
    <xf numFmtId="187" fontId="49" fillId="0" borderId="38" xfId="0" applyNumberFormat="1" applyFont="1" applyBorder="1" applyAlignment="1">
      <alignment vertical="center"/>
    </xf>
    <xf numFmtId="0" fontId="49" fillId="0" borderId="45" xfId="0" applyFont="1" applyBorder="1" applyAlignment="1">
      <alignment vertical="center"/>
    </xf>
    <xf numFmtId="0" fontId="49" fillId="0" borderId="46" xfId="0" applyFont="1" applyBorder="1" applyAlignment="1">
      <alignment vertical="center"/>
    </xf>
    <xf numFmtId="178" fontId="49" fillId="0" borderId="48" xfId="0" applyNumberFormat="1" applyFont="1" applyBorder="1" applyAlignment="1">
      <alignment vertical="center"/>
    </xf>
    <xf numFmtId="178" fontId="49" fillId="0" borderId="51" xfId="0" applyNumberFormat="1" applyFont="1" applyBorder="1" applyAlignment="1">
      <alignment vertical="center"/>
    </xf>
    <xf numFmtId="0" fontId="53" fillId="0" borderId="5" xfId="0" applyFont="1" applyBorder="1" applyAlignment="1" applyProtection="1">
      <alignment horizontal="center" vertical="center"/>
    </xf>
    <xf numFmtId="0" fontId="54" fillId="0" borderId="11" xfId="0" applyFont="1" applyBorder="1" applyAlignment="1" applyProtection="1">
      <alignment horizontal="left" vertical="center"/>
    </xf>
    <xf numFmtId="0" fontId="54" fillId="0" borderId="5" xfId="0" applyFont="1" applyBorder="1" applyAlignment="1" applyProtection="1">
      <alignment horizontal="left" vertical="center"/>
    </xf>
    <xf numFmtId="176" fontId="54" fillId="0" borderId="11" xfId="0" applyNumberFormat="1" applyFont="1" applyFill="1" applyBorder="1" applyAlignment="1" applyProtection="1">
      <alignment horizontal="right" vertical="center"/>
    </xf>
    <xf numFmtId="176" fontId="54" fillId="0" borderId="5" xfId="0" applyNumberFormat="1" applyFont="1" applyFill="1" applyBorder="1" applyAlignment="1" applyProtection="1">
      <alignment horizontal="right" vertical="center"/>
    </xf>
    <xf numFmtId="176" fontId="54" fillId="0" borderId="13" xfId="0" applyNumberFormat="1" applyFont="1" applyFill="1" applyBorder="1" applyAlignment="1" applyProtection="1">
      <alignment horizontal="right" vertical="center"/>
    </xf>
    <xf numFmtId="0" fontId="54" fillId="0" borderId="6" xfId="0" applyFont="1" applyBorder="1" applyAlignment="1" applyProtection="1">
      <alignment horizontal="center" vertical="center"/>
    </xf>
    <xf numFmtId="0" fontId="54" fillId="0" borderId="12" xfId="0" applyFont="1" applyBorder="1" applyAlignment="1" applyProtection="1">
      <alignment horizontal="center" vertical="center"/>
    </xf>
    <xf numFmtId="0" fontId="54" fillId="0" borderId="9" xfId="0" applyFont="1" applyBorder="1" applyAlignment="1" applyProtection="1">
      <alignment horizontal="left" vertical="center"/>
    </xf>
    <xf numFmtId="0" fontId="54" fillId="0" borderId="0" xfId="0" applyFont="1" applyBorder="1" applyAlignment="1" applyProtection="1">
      <alignment horizontal="left" vertical="center"/>
    </xf>
    <xf numFmtId="176" fontId="54" fillId="0" borderId="9" xfId="0" applyNumberFormat="1" applyFont="1" applyFill="1" applyBorder="1" applyAlignment="1" applyProtection="1">
      <alignment horizontal="right" vertical="center"/>
    </xf>
    <xf numFmtId="176" fontId="54" fillId="0" borderId="0" xfId="0" applyNumberFormat="1" applyFont="1" applyFill="1" applyBorder="1" applyAlignment="1" applyProtection="1">
      <alignment horizontal="right" vertical="center"/>
    </xf>
    <xf numFmtId="176" fontId="54" fillId="0" borderId="10" xfId="0" applyNumberFormat="1" applyFont="1" applyFill="1" applyBorder="1" applyAlignment="1" applyProtection="1">
      <alignment horizontal="right" vertical="center"/>
    </xf>
    <xf numFmtId="177" fontId="54" fillId="0" borderId="0" xfId="0" applyNumberFormat="1" applyFont="1" applyBorder="1" applyAlignment="1" applyProtection="1">
      <alignment horizontal="center" vertical="center"/>
    </xf>
    <xf numFmtId="177" fontId="54" fillId="0" borderId="10" xfId="0" applyNumberFormat="1" applyFont="1" applyBorder="1" applyAlignment="1" applyProtection="1">
      <alignment horizontal="center" vertical="center"/>
    </xf>
    <xf numFmtId="176" fontId="54" fillId="0" borderId="0" xfId="0" applyNumberFormat="1" applyFont="1" applyBorder="1" applyAlignment="1" applyProtection="1">
      <alignment horizontal="right" vertical="center"/>
    </xf>
    <xf numFmtId="0" fontId="54" fillId="0" borderId="1" xfId="0" applyFont="1" applyBorder="1" applyAlignment="1" applyProtection="1">
      <alignment horizontal="left" vertical="center"/>
    </xf>
    <xf numFmtId="0" fontId="54" fillId="0" borderId="2" xfId="0" applyFont="1" applyBorder="1" applyAlignment="1" applyProtection="1">
      <alignment horizontal="left" vertical="center"/>
    </xf>
    <xf numFmtId="176" fontId="54" fillId="0" borderId="1" xfId="0" applyNumberFormat="1" applyFont="1" applyFill="1" applyBorder="1" applyAlignment="1" applyProtection="1">
      <alignment horizontal="right" vertical="center"/>
    </xf>
    <xf numFmtId="176" fontId="54" fillId="0" borderId="2" xfId="0" applyNumberFormat="1" applyFont="1" applyFill="1" applyBorder="1" applyAlignment="1" applyProtection="1">
      <alignment horizontal="right" vertical="center"/>
    </xf>
    <xf numFmtId="176" fontId="54" fillId="0" borderId="3" xfId="0" applyNumberFormat="1" applyFont="1" applyFill="1" applyBorder="1" applyAlignment="1" applyProtection="1">
      <alignment horizontal="right" vertical="center"/>
    </xf>
    <xf numFmtId="177" fontId="54" fillId="0" borderId="2" xfId="0" applyNumberFormat="1" applyFont="1" applyBorder="1" applyAlignment="1" applyProtection="1">
      <alignment horizontal="center" vertical="center"/>
    </xf>
    <xf numFmtId="177" fontId="54" fillId="0" borderId="3" xfId="0" applyNumberFormat="1" applyFont="1" applyBorder="1" applyAlignment="1" applyProtection="1">
      <alignment horizontal="center" vertical="center"/>
    </xf>
    <xf numFmtId="176" fontId="54" fillId="0" borderId="2" xfId="0" applyNumberFormat="1" applyFont="1" applyBorder="1" applyAlignment="1" applyProtection="1">
      <alignment horizontal="right" vertical="center"/>
    </xf>
    <xf numFmtId="176" fontId="54" fillId="0" borderId="1" xfId="0" applyNumberFormat="1" applyFont="1" applyBorder="1" applyAlignment="1" applyProtection="1">
      <alignment horizontal="right" vertical="center"/>
    </xf>
    <xf numFmtId="176" fontId="54" fillId="0" borderId="3" xfId="0" applyNumberFormat="1" applyFont="1" applyBorder="1" applyAlignment="1" applyProtection="1">
      <alignment horizontal="right" vertical="center"/>
    </xf>
    <xf numFmtId="0" fontId="54" fillId="0" borderId="14" xfId="0" applyFont="1" applyBorder="1" applyAlignment="1" applyProtection="1">
      <alignment horizontal="center" vertical="center"/>
    </xf>
    <xf numFmtId="0" fontId="54" fillId="0" borderId="15" xfId="0" applyFont="1" applyBorder="1" applyAlignment="1" applyProtection="1">
      <alignment horizontal="center" vertical="center"/>
    </xf>
    <xf numFmtId="0" fontId="54" fillId="0" borderId="1" xfId="0" applyFont="1" applyBorder="1" applyAlignment="1" applyProtection="1">
      <alignment horizontal="center" vertical="center"/>
    </xf>
    <xf numFmtId="0" fontId="54" fillId="0" borderId="2" xfId="0" applyFont="1" applyBorder="1" applyAlignment="1" applyProtection="1">
      <alignment horizontal="center" vertical="center"/>
    </xf>
    <xf numFmtId="0" fontId="54" fillId="0" borderId="3" xfId="0" applyFont="1" applyBorder="1" applyAlignment="1" applyProtection="1">
      <alignment horizontal="center" vertical="center"/>
    </xf>
    <xf numFmtId="0" fontId="54" fillId="0" borderId="2" xfId="0" applyFont="1" applyBorder="1" applyAlignment="1" applyProtection="1">
      <alignment horizontal="right" vertical="center"/>
    </xf>
    <xf numFmtId="0" fontId="54" fillId="0" borderId="0" xfId="0" applyFont="1" applyBorder="1" applyAlignment="1" applyProtection="1">
      <alignment horizontal="center" vertical="center"/>
    </xf>
    <xf numFmtId="0" fontId="54" fillId="0" borderId="10" xfId="0" applyFont="1" applyBorder="1" applyAlignment="1" applyProtection="1">
      <alignment horizontal="center" vertical="center"/>
    </xf>
    <xf numFmtId="0" fontId="54" fillId="0" borderId="5" xfId="0" applyFont="1" applyBorder="1" applyAlignment="1" applyProtection="1">
      <alignment horizontal="center" vertical="center"/>
    </xf>
    <xf numFmtId="0" fontId="54" fillId="0" borderId="13" xfId="0" applyFont="1" applyBorder="1" applyAlignment="1" applyProtection="1">
      <alignment horizontal="center" vertical="center"/>
    </xf>
    <xf numFmtId="0" fontId="54" fillId="0" borderId="9" xfId="0" applyFont="1" applyBorder="1" applyAlignment="1" applyProtection="1">
      <alignment horizontal="center" vertical="center"/>
    </xf>
    <xf numFmtId="0" fontId="54" fillId="0" borderId="11" xfId="0" applyFont="1" applyBorder="1" applyAlignment="1" applyProtection="1">
      <alignment horizontal="center" vertical="center"/>
    </xf>
    <xf numFmtId="0" fontId="54" fillId="0" borderId="7" xfId="0" applyFont="1" applyBorder="1" applyAlignment="1" applyProtection="1">
      <alignment horizontal="center" vertical="center"/>
    </xf>
    <xf numFmtId="0" fontId="54" fillId="0" borderId="4" xfId="0" applyFont="1" applyBorder="1" applyAlignment="1" applyProtection="1">
      <alignment horizontal="center" vertical="center"/>
    </xf>
    <xf numFmtId="0" fontId="54" fillId="0" borderId="8" xfId="0" applyFont="1" applyBorder="1" applyAlignment="1" applyProtection="1">
      <alignment horizontal="center" vertical="center"/>
    </xf>
    <xf numFmtId="0" fontId="54" fillId="0" borderId="4" xfId="0" applyFont="1" applyFill="1" applyBorder="1" applyAlignment="1" applyProtection="1">
      <alignment horizontal="left" vertical="center" wrapText="1" shrinkToFit="1"/>
      <protection locked="0"/>
    </xf>
    <xf numFmtId="0" fontId="54" fillId="0" borderId="8" xfId="0" applyFont="1" applyFill="1" applyBorder="1" applyAlignment="1" applyProtection="1">
      <alignment horizontal="left" vertical="center" wrapText="1" shrinkToFit="1"/>
      <protection locked="0"/>
    </xf>
    <xf numFmtId="0" fontId="54" fillId="0" borderId="2" xfId="0" applyNumberFormat="1" applyFont="1" applyFill="1" applyBorder="1" applyAlignment="1" applyProtection="1">
      <alignment horizontal="left" vertical="center" shrinkToFit="1"/>
    </xf>
    <xf numFmtId="0" fontId="54" fillId="0" borderId="3" xfId="0" applyNumberFormat="1" applyFont="1" applyFill="1" applyBorder="1" applyAlignment="1" applyProtection="1">
      <alignment horizontal="left" vertical="center" shrinkToFit="1"/>
    </xf>
    <xf numFmtId="0" fontId="54" fillId="0" borderId="11" xfId="0" applyFont="1" applyBorder="1" applyAlignment="1" applyProtection="1">
      <alignment horizontal="right" vertical="center" indent="1"/>
    </xf>
    <xf numFmtId="0" fontId="54" fillId="0" borderId="5" xfId="0" applyFont="1" applyBorder="1" applyAlignment="1" applyProtection="1">
      <alignment horizontal="right" vertical="center" indent="1"/>
    </xf>
    <xf numFmtId="0" fontId="54" fillId="0" borderId="13" xfId="0" applyFont="1" applyBorder="1" applyAlignment="1" applyProtection="1">
      <alignment horizontal="right" vertical="center" indent="1"/>
    </xf>
    <xf numFmtId="179" fontId="54" fillId="0" borderId="9" xfId="0" applyNumberFormat="1" applyFont="1" applyFill="1" applyBorder="1" applyAlignment="1" applyProtection="1">
      <alignment horizontal="right" vertical="center" indent="1"/>
    </xf>
    <xf numFmtId="179" fontId="54" fillId="0" borderId="0" xfId="0" applyNumberFormat="1" applyFont="1" applyFill="1" applyBorder="1" applyAlignment="1" applyProtection="1">
      <alignment horizontal="right" vertical="center" indent="1"/>
    </xf>
    <xf numFmtId="179" fontId="54" fillId="0" borderId="10" xfId="0" applyNumberFormat="1" applyFont="1" applyFill="1" applyBorder="1" applyAlignment="1" applyProtection="1">
      <alignment horizontal="right" vertical="center" indent="1"/>
    </xf>
    <xf numFmtId="0" fontId="47" fillId="0" borderId="7" xfId="0" applyFont="1" applyBorder="1" applyAlignment="1" applyProtection="1">
      <alignment horizontal="center" vertical="center" textRotation="255" shrinkToFit="1"/>
    </xf>
    <xf numFmtId="0" fontId="47" fillId="0" borderId="9" xfId="0" applyFont="1" applyBorder="1" applyAlignment="1" applyProtection="1">
      <alignment horizontal="center" vertical="center" textRotation="255" shrinkToFit="1"/>
    </xf>
    <xf numFmtId="0" fontId="47" fillId="0" borderId="11" xfId="0" applyFont="1" applyBorder="1" applyAlignment="1" applyProtection="1">
      <alignment horizontal="center" vertical="center" textRotation="255" shrinkToFit="1"/>
    </xf>
    <xf numFmtId="0" fontId="54" fillId="0" borderId="20" xfId="0" applyFont="1" applyBorder="1" applyAlignment="1" applyProtection="1">
      <alignment horizontal="center" vertical="center"/>
    </xf>
    <xf numFmtId="0" fontId="54" fillId="0" borderId="19" xfId="0" applyFont="1" applyBorder="1" applyAlignment="1" applyProtection="1">
      <alignment horizontal="center" vertical="center"/>
    </xf>
    <xf numFmtId="0" fontId="54" fillId="0" borderId="7" xfId="0" applyFont="1" applyFill="1" applyBorder="1" applyAlignment="1" applyProtection="1">
      <alignment horizontal="left" vertical="center" wrapText="1" shrinkToFit="1"/>
      <protection locked="0"/>
    </xf>
    <xf numFmtId="0" fontId="54" fillId="0" borderId="1" xfId="0" applyFont="1" applyFill="1" applyBorder="1" applyAlignment="1" applyProtection="1">
      <alignment horizontal="left" vertical="center" wrapText="1" shrinkToFit="1"/>
      <protection locked="0"/>
    </xf>
    <xf numFmtId="0" fontId="54" fillId="0" borderId="2" xfId="0" applyFont="1" applyFill="1" applyBorder="1" applyAlignment="1" applyProtection="1">
      <alignment horizontal="left" vertical="center" wrapText="1" shrinkToFit="1"/>
      <protection locked="0"/>
    </xf>
    <xf numFmtId="0" fontId="54" fillId="0" borderId="3" xfId="0" applyFont="1" applyFill="1" applyBorder="1" applyAlignment="1" applyProtection="1">
      <alignment horizontal="left" vertical="center" wrapText="1" shrinkToFit="1"/>
      <protection locked="0"/>
    </xf>
    <xf numFmtId="0" fontId="54" fillId="0" borderId="11" xfId="0" applyFont="1" applyBorder="1" applyAlignment="1" applyProtection="1">
      <alignment horizontal="distributed" vertical="center" wrapText="1" indent="1"/>
    </xf>
    <xf numFmtId="0" fontId="54" fillId="0" borderId="5" xfId="0" applyFont="1" applyBorder="1" applyAlignment="1" applyProtection="1">
      <alignment horizontal="distributed" vertical="center" wrapText="1" indent="1"/>
    </xf>
    <xf numFmtId="0" fontId="54" fillId="0" borderId="13" xfId="0" applyFont="1" applyBorder="1" applyAlignment="1" applyProtection="1">
      <alignment horizontal="distributed" vertical="center" wrapText="1" indent="1"/>
    </xf>
    <xf numFmtId="0" fontId="54" fillId="0" borderId="1" xfId="0" applyFont="1" applyBorder="1" applyAlignment="1" applyProtection="1">
      <alignment horizontal="distributed" vertical="center" indent="1"/>
    </xf>
    <xf numFmtId="0" fontId="54" fillId="0" borderId="2" xfId="0" applyFont="1" applyBorder="1" applyAlignment="1" applyProtection="1">
      <alignment horizontal="distributed" vertical="center" indent="1"/>
    </xf>
    <xf numFmtId="0" fontId="54" fillId="0" borderId="3" xfId="0" applyFont="1" applyBorder="1" applyAlignment="1" applyProtection="1">
      <alignment horizontal="distributed" vertical="center" indent="1"/>
    </xf>
    <xf numFmtId="0" fontId="54" fillId="0" borderId="7" xfId="0" applyFont="1" applyBorder="1" applyAlignment="1" applyProtection="1">
      <alignment horizontal="distributed" vertical="center" wrapText="1"/>
    </xf>
    <xf numFmtId="0" fontId="54" fillId="0" borderId="8" xfId="0" applyFont="1" applyBorder="1" applyAlignment="1" applyProtection="1">
      <alignment horizontal="distributed" vertical="center"/>
    </xf>
    <xf numFmtId="0" fontId="54" fillId="0" borderId="9" xfId="0" applyFont="1" applyBorder="1" applyAlignment="1" applyProtection="1">
      <alignment horizontal="distributed" vertical="center"/>
    </xf>
    <xf numFmtId="0" fontId="54" fillId="0" borderId="10" xfId="0" applyFont="1" applyBorder="1" applyAlignment="1" applyProtection="1">
      <alignment horizontal="distributed" vertical="center"/>
    </xf>
    <xf numFmtId="0" fontId="54" fillId="0" borderId="11" xfId="0" applyFont="1" applyBorder="1" applyAlignment="1" applyProtection="1">
      <alignment horizontal="distributed" vertical="center"/>
    </xf>
    <xf numFmtId="0" fontId="54" fillId="0" borderId="13" xfId="0" applyFont="1" applyBorder="1" applyAlignment="1" applyProtection="1">
      <alignment horizontal="distributed" vertical="center"/>
    </xf>
    <xf numFmtId="0" fontId="54" fillId="0" borderId="7" xfId="0" applyFont="1" applyBorder="1" applyAlignment="1" applyProtection="1">
      <alignment horizontal="distributed" vertical="center" indent="1"/>
    </xf>
    <xf numFmtId="0" fontId="54" fillId="0" borderId="4" xfId="0" applyFont="1" applyBorder="1" applyAlignment="1" applyProtection="1">
      <alignment horizontal="distributed" vertical="center" indent="1"/>
    </xf>
    <xf numFmtId="0" fontId="54" fillId="0" borderId="8" xfId="0" applyFont="1" applyBorder="1" applyAlignment="1" applyProtection="1">
      <alignment horizontal="distributed" vertical="center" indent="1"/>
    </xf>
    <xf numFmtId="0" fontId="47" fillId="0" borderId="1" xfId="0" applyFont="1" applyBorder="1" applyAlignment="1" applyProtection="1">
      <alignment horizontal="distributed" vertical="center" indent="1"/>
    </xf>
    <xf numFmtId="0" fontId="47" fillId="0" borderId="2" xfId="0" applyFont="1" applyBorder="1" applyAlignment="1" applyProtection="1">
      <alignment horizontal="distributed" vertical="center" indent="1"/>
    </xf>
    <xf numFmtId="0" fontId="47" fillId="0" borderId="3" xfId="0" applyFont="1" applyBorder="1" applyAlignment="1" applyProtection="1">
      <alignment horizontal="distributed" vertical="center" indent="1"/>
    </xf>
    <xf numFmtId="0" fontId="54" fillId="0" borderId="9" xfId="0" applyFont="1" applyBorder="1" applyAlignment="1" applyProtection="1">
      <alignment horizontal="distributed" vertical="center" wrapText="1" indent="1"/>
    </xf>
    <xf numFmtId="0" fontId="54" fillId="0" borderId="0" xfId="0" applyFont="1" applyBorder="1" applyAlignment="1" applyProtection="1">
      <alignment horizontal="distributed" vertical="center" wrapText="1" indent="1"/>
    </xf>
    <xf numFmtId="0" fontId="54" fillId="0" borderId="10" xfId="0" applyFont="1" applyBorder="1" applyAlignment="1" applyProtection="1">
      <alignment horizontal="distributed" vertical="center" wrapText="1" indent="1"/>
    </xf>
    <xf numFmtId="0" fontId="59" fillId="3" borderId="0" xfId="4" applyFont="1" applyFill="1" applyBorder="1" applyAlignment="1">
      <alignment horizontal="center" vertical="center"/>
    </xf>
    <xf numFmtId="0" fontId="59" fillId="3" borderId="106" xfId="4" applyFont="1" applyFill="1" applyBorder="1" applyAlignment="1">
      <alignment horizontal="center" vertical="center"/>
    </xf>
    <xf numFmtId="0" fontId="8" fillId="3" borderId="0" xfId="4" applyFont="1" applyFill="1" applyBorder="1" applyAlignment="1">
      <alignment horizontal="center" vertical="center"/>
    </xf>
    <xf numFmtId="185" fontId="40" fillId="3" borderId="83" xfId="4" applyNumberFormat="1" applyFont="1" applyFill="1" applyBorder="1" applyAlignment="1">
      <alignment horizontal="center" vertical="center"/>
    </xf>
    <xf numFmtId="185" fontId="40" fillId="3" borderId="80" xfId="4" applyNumberFormat="1" applyFont="1" applyFill="1" applyBorder="1" applyAlignment="1">
      <alignment horizontal="center" vertical="center"/>
    </xf>
    <xf numFmtId="185" fontId="40" fillId="3" borderId="93" xfId="4" applyNumberFormat="1" applyFont="1" applyFill="1" applyBorder="1" applyAlignment="1">
      <alignment horizontal="center" vertical="center"/>
    </xf>
    <xf numFmtId="185" fontId="40" fillId="3" borderId="59" xfId="4" applyNumberFormat="1" applyFont="1" applyFill="1" applyBorder="1" applyAlignment="1">
      <alignment horizontal="center" vertical="center"/>
    </xf>
    <xf numFmtId="185" fontId="40" fillId="3" borderId="81" xfId="4" applyNumberFormat="1" applyFont="1" applyFill="1" applyBorder="1" applyAlignment="1">
      <alignment horizontal="center" vertical="center"/>
    </xf>
    <xf numFmtId="185" fontId="40" fillId="3" borderId="98" xfId="4" applyNumberFormat="1" applyFont="1" applyFill="1" applyBorder="1" applyAlignment="1">
      <alignment horizontal="center" vertical="center"/>
    </xf>
    <xf numFmtId="185" fontId="40" fillId="3" borderId="97" xfId="4" applyNumberFormat="1" applyFont="1" applyFill="1" applyBorder="1" applyAlignment="1">
      <alignment horizontal="center" vertical="center"/>
    </xf>
    <xf numFmtId="185" fontId="40" fillId="3" borderId="96" xfId="4" applyNumberFormat="1" applyFont="1" applyFill="1" applyBorder="1" applyAlignment="1">
      <alignment horizontal="center" vertical="center"/>
    </xf>
    <xf numFmtId="0" fontId="11" fillId="3" borderId="4" xfId="4" applyFont="1" applyFill="1" applyBorder="1" applyAlignment="1">
      <alignment horizontal="left" vertical="center"/>
    </xf>
    <xf numFmtId="0" fontId="11" fillId="3" borderId="8" xfId="4" applyFont="1" applyFill="1" applyBorder="1" applyAlignment="1">
      <alignment horizontal="left" vertical="center"/>
    </xf>
    <xf numFmtId="185" fontId="40" fillId="3" borderId="83" xfId="4" applyNumberFormat="1" applyFont="1" applyFill="1" applyBorder="1" applyAlignment="1">
      <alignment horizontal="center" vertical="center" shrinkToFit="1"/>
    </xf>
    <xf numFmtId="185" fontId="40" fillId="3" borderId="67" xfId="4" applyNumberFormat="1" applyFont="1" applyFill="1" applyBorder="1" applyAlignment="1">
      <alignment horizontal="center" vertical="center" shrinkToFit="1"/>
    </xf>
    <xf numFmtId="185" fontId="40" fillId="3" borderId="93" xfId="4" applyNumberFormat="1" applyFont="1" applyFill="1" applyBorder="1" applyAlignment="1">
      <alignment horizontal="center" vertical="center" shrinkToFit="1"/>
    </xf>
    <xf numFmtId="185" fontId="40" fillId="3" borderId="57" xfId="4" applyNumberFormat="1" applyFont="1" applyFill="1" applyBorder="1" applyAlignment="1">
      <alignment horizontal="center" vertical="center" shrinkToFit="1"/>
    </xf>
    <xf numFmtId="185" fontId="40" fillId="3" borderId="82" xfId="4" applyNumberFormat="1" applyFont="1" applyFill="1" applyBorder="1" applyAlignment="1">
      <alignment horizontal="center" vertical="center"/>
    </xf>
    <xf numFmtId="185" fontId="40" fillId="3" borderId="58" xfId="4" applyNumberFormat="1" applyFont="1" applyFill="1" applyBorder="1" applyAlignment="1">
      <alignment horizontal="center" vertical="center"/>
    </xf>
    <xf numFmtId="185" fontId="40" fillId="3" borderId="84" xfId="4" applyNumberFormat="1" applyFont="1" applyFill="1" applyBorder="1" applyAlignment="1">
      <alignment horizontal="center" vertical="center"/>
    </xf>
    <xf numFmtId="185" fontId="40" fillId="3" borderId="67" xfId="4" applyNumberFormat="1" applyFont="1" applyFill="1" applyBorder="1" applyAlignment="1">
      <alignment horizontal="center" vertical="center"/>
    </xf>
    <xf numFmtId="185" fontId="40" fillId="3" borderId="57" xfId="4" applyNumberFormat="1" applyFont="1" applyFill="1" applyBorder="1" applyAlignment="1">
      <alignment horizontal="center" vertical="center"/>
    </xf>
    <xf numFmtId="0" fontId="21" fillId="3" borderId="11" xfId="4" applyFont="1" applyFill="1" applyBorder="1" applyAlignment="1">
      <alignment horizontal="center" vertical="center" shrinkToFit="1"/>
    </xf>
    <xf numFmtId="0" fontId="21" fillId="3" borderId="5" xfId="4" applyFont="1" applyFill="1" applyBorder="1" applyAlignment="1">
      <alignment horizontal="center" vertical="center" shrinkToFit="1"/>
    </xf>
    <xf numFmtId="0" fontId="21" fillId="3" borderId="13" xfId="4" applyFont="1" applyFill="1" applyBorder="1" applyAlignment="1">
      <alignment horizontal="center" vertical="center" shrinkToFit="1"/>
    </xf>
    <xf numFmtId="0" fontId="37" fillId="3" borderId="1" xfId="4" applyFont="1" applyFill="1" applyBorder="1" applyAlignment="1">
      <alignment horizontal="center" vertical="center"/>
    </xf>
    <xf numFmtId="0" fontId="37" fillId="3" borderId="2" xfId="4" applyFont="1" applyFill="1" applyBorder="1" applyAlignment="1">
      <alignment horizontal="center" vertical="center"/>
    </xf>
    <xf numFmtId="0" fontId="37" fillId="3" borderId="3" xfId="4" applyFont="1" applyFill="1" applyBorder="1" applyAlignment="1">
      <alignment horizontal="center" vertical="center"/>
    </xf>
    <xf numFmtId="185" fontId="40" fillId="3" borderId="82" xfId="4" applyNumberFormat="1" applyFont="1" applyFill="1" applyBorder="1" applyAlignment="1">
      <alignment horizontal="center" vertical="center" shrinkToFit="1"/>
    </xf>
    <xf numFmtId="185" fontId="40" fillId="3" borderId="81" xfId="4" applyNumberFormat="1" applyFont="1" applyFill="1" applyBorder="1" applyAlignment="1">
      <alignment horizontal="center" vertical="center" shrinkToFit="1"/>
    </xf>
    <xf numFmtId="185" fontId="40" fillId="3" borderId="100" xfId="4" applyNumberFormat="1" applyFont="1" applyFill="1" applyBorder="1" applyAlignment="1">
      <alignment horizontal="center" vertical="center" shrinkToFit="1"/>
    </xf>
    <xf numFmtId="185" fontId="40" fillId="3" borderId="97" xfId="4" applyNumberFormat="1" applyFont="1" applyFill="1" applyBorder="1" applyAlignment="1">
      <alignment horizontal="center" vertical="center" shrinkToFit="1"/>
    </xf>
    <xf numFmtId="185" fontId="40" fillId="3" borderId="99" xfId="4" applyNumberFormat="1" applyFont="1" applyFill="1" applyBorder="1" applyAlignment="1">
      <alignment horizontal="center" vertical="center"/>
    </xf>
    <xf numFmtId="185" fontId="40" fillId="3" borderId="100" xfId="4" applyNumberFormat="1" applyFont="1" applyFill="1" applyBorder="1" applyAlignment="1">
      <alignment horizontal="center" vertical="center"/>
    </xf>
    <xf numFmtId="185" fontId="40" fillId="3" borderId="179" xfId="4" applyNumberFormat="1" applyFont="1" applyFill="1" applyBorder="1" applyAlignment="1">
      <alignment horizontal="center" vertical="center" shrinkToFit="1"/>
    </xf>
    <xf numFmtId="185" fontId="40" fillId="3" borderId="90" xfId="4" applyNumberFormat="1" applyFont="1" applyFill="1" applyBorder="1" applyAlignment="1">
      <alignment horizontal="center" vertical="center" shrinkToFit="1"/>
    </xf>
    <xf numFmtId="185" fontId="40" fillId="3" borderId="91" xfId="4" applyNumberFormat="1" applyFont="1" applyFill="1" applyBorder="1" applyAlignment="1">
      <alignment horizontal="center" vertical="center"/>
    </xf>
    <xf numFmtId="185" fontId="40" fillId="3" borderId="89" xfId="4" applyNumberFormat="1" applyFont="1" applyFill="1" applyBorder="1" applyAlignment="1">
      <alignment horizontal="center" vertical="center"/>
    </xf>
    <xf numFmtId="185" fontId="40" fillId="3" borderId="179" xfId="4" applyNumberFormat="1" applyFont="1" applyFill="1" applyBorder="1" applyAlignment="1">
      <alignment horizontal="center" vertical="center"/>
    </xf>
    <xf numFmtId="185" fontId="40" fillId="3" borderId="90" xfId="4" applyNumberFormat="1" applyFont="1" applyFill="1" applyBorder="1" applyAlignment="1">
      <alignment horizontal="center" vertical="center"/>
    </xf>
    <xf numFmtId="185" fontId="40" fillId="3" borderId="179" xfId="4" applyNumberFormat="1" applyFont="1" applyFill="1" applyBorder="1" applyAlignment="1">
      <alignment horizontal="right" vertical="center"/>
    </xf>
    <xf numFmtId="185" fontId="40" fillId="3" borderId="92" xfId="4" applyNumberFormat="1" applyFont="1" applyFill="1" applyBorder="1" applyAlignment="1">
      <alignment horizontal="right" vertical="center"/>
    </xf>
    <xf numFmtId="0" fontId="11" fillId="3" borderId="85" xfId="4" applyFont="1" applyFill="1" applyBorder="1" applyAlignment="1">
      <alignment horizontal="center" vertical="center"/>
    </xf>
    <xf numFmtId="0" fontId="11" fillId="3" borderId="52" xfId="4" applyFont="1" applyFill="1" applyBorder="1" applyAlignment="1">
      <alignment horizontal="center" vertical="center"/>
    </xf>
    <xf numFmtId="0" fontId="8" fillId="3" borderId="82" xfId="4" applyFont="1" applyFill="1" applyBorder="1" applyAlignment="1">
      <alignment horizontal="center" vertical="center"/>
    </xf>
    <xf numFmtId="0" fontId="8" fillId="3" borderId="66" xfId="4" applyFont="1" applyFill="1" applyBorder="1" applyAlignment="1">
      <alignment horizontal="center" vertical="center"/>
    </xf>
    <xf numFmtId="0" fontId="8" fillId="3" borderId="80" xfId="4" applyFont="1" applyFill="1" applyBorder="1" applyAlignment="1">
      <alignment horizontal="center" vertical="center"/>
    </xf>
    <xf numFmtId="0" fontId="8" fillId="3" borderId="58" xfId="4" applyFont="1" applyFill="1" applyBorder="1" applyAlignment="1">
      <alignment horizontal="center" vertical="center"/>
    </xf>
    <xf numFmtId="0" fontId="8" fillId="3" borderId="56" xfId="4" applyFont="1" applyFill="1" applyBorder="1" applyAlignment="1">
      <alignment horizontal="center" vertical="center"/>
    </xf>
    <xf numFmtId="0" fontId="8" fillId="3" borderId="59" xfId="4" applyFont="1" applyFill="1" applyBorder="1" applyAlignment="1">
      <alignment horizontal="center" vertical="center"/>
    </xf>
    <xf numFmtId="0" fontId="10" fillId="3" borderId="85" xfId="4" applyFont="1" applyFill="1" applyBorder="1" applyAlignment="1">
      <alignment horizontal="right" vertical="top"/>
    </xf>
    <xf numFmtId="0" fontId="10" fillId="3" borderId="52" xfId="4" applyFont="1" applyFill="1" applyBorder="1" applyAlignment="1">
      <alignment horizontal="right" vertical="top"/>
    </xf>
    <xf numFmtId="185" fontId="40" fillId="3" borderId="65" xfId="4" applyNumberFormat="1" applyFont="1" applyFill="1" applyBorder="1" applyAlignment="1">
      <alignment horizontal="center" vertical="center" shrinkToFit="1"/>
    </xf>
    <xf numFmtId="185" fontId="40" fillId="3" borderId="66" xfId="4" applyNumberFormat="1" applyFont="1" applyFill="1" applyBorder="1" applyAlignment="1">
      <alignment horizontal="center" vertical="center" shrinkToFit="1"/>
    </xf>
    <xf numFmtId="185" fontId="40" fillId="3" borderId="55" xfId="4" applyNumberFormat="1" applyFont="1" applyFill="1" applyBorder="1" applyAlignment="1">
      <alignment horizontal="center" vertical="center" shrinkToFit="1"/>
    </xf>
    <xf numFmtId="185" fontId="40" fillId="3" borderId="56" xfId="4" applyNumberFormat="1" applyFont="1" applyFill="1" applyBorder="1" applyAlignment="1">
      <alignment horizontal="center" vertical="center" shrinkToFit="1"/>
    </xf>
    <xf numFmtId="185" fontId="40" fillId="3" borderId="84" xfId="4" applyNumberFormat="1" applyFont="1" applyFill="1" applyBorder="1" applyAlignment="1">
      <alignment horizontal="center" vertical="center" shrinkToFit="1"/>
    </xf>
    <xf numFmtId="185" fontId="40" fillId="3" borderId="87" xfId="4" applyNumberFormat="1" applyFont="1" applyFill="1" applyBorder="1" applyAlignment="1">
      <alignment horizontal="center" vertical="center" shrinkToFit="1"/>
    </xf>
    <xf numFmtId="185" fontId="40" fillId="3" borderId="88" xfId="4" applyNumberFormat="1" applyFont="1" applyFill="1" applyBorder="1" applyAlignment="1">
      <alignment horizontal="center" vertical="center" shrinkToFit="1"/>
    </xf>
    <xf numFmtId="185" fontId="40" fillId="3" borderId="89" xfId="4" applyNumberFormat="1" applyFont="1" applyFill="1" applyBorder="1" applyAlignment="1">
      <alignment horizontal="center" vertical="center" shrinkToFit="1"/>
    </xf>
    <xf numFmtId="0" fontId="55" fillId="3" borderId="0" xfId="4" applyFont="1" applyFill="1" applyAlignment="1">
      <alignment horizontal="center" vertical="center"/>
    </xf>
    <xf numFmtId="0" fontId="10" fillId="3" borderId="52" xfId="4" applyFont="1" applyFill="1" applyBorder="1" applyAlignment="1">
      <alignment horizontal="center" vertical="center"/>
    </xf>
    <xf numFmtId="0" fontId="57" fillId="3" borderId="0" xfId="4" applyFont="1" applyFill="1" applyAlignment="1">
      <alignment horizontal="distributed" vertical="center"/>
    </xf>
    <xf numFmtId="0" fontId="13" fillId="3" borderId="0" xfId="4" applyFont="1" applyFill="1" applyAlignment="1">
      <alignment horizontal="center" vertical="center"/>
    </xf>
    <xf numFmtId="0" fontId="14" fillId="3" borderId="0" xfId="4" applyFont="1" applyFill="1" applyAlignment="1">
      <alignment horizontal="right" vertical="center"/>
    </xf>
    <xf numFmtId="0" fontId="15" fillId="3" borderId="0" xfId="4" applyFont="1" applyFill="1" applyAlignment="1">
      <alignment horizontal="right" vertical="center"/>
    </xf>
    <xf numFmtId="0" fontId="8" fillId="3" borderId="7" xfId="4" applyFont="1" applyFill="1" applyBorder="1">
      <alignment vertical="center"/>
    </xf>
    <xf numFmtId="0" fontId="2" fillId="3" borderId="4" xfId="4" applyFont="1" applyFill="1" applyBorder="1">
      <alignment vertical="center"/>
    </xf>
    <xf numFmtId="0" fontId="2" fillId="3" borderId="53" xfId="4" applyFont="1" applyFill="1" applyBorder="1">
      <alignment vertical="center"/>
    </xf>
    <xf numFmtId="0" fontId="8" fillId="3" borderId="54" xfId="4" applyFont="1" applyFill="1" applyBorder="1" applyAlignment="1">
      <alignment horizontal="center" vertical="center" shrinkToFit="1"/>
    </xf>
    <xf numFmtId="0" fontId="2" fillId="3" borderId="4" xfId="4" applyFont="1" applyFill="1" applyBorder="1" applyAlignment="1">
      <alignment horizontal="center" vertical="center" shrinkToFit="1"/>
    </xf>
    <xf numFmtId="0" fontId="2" fillId="3" borderId="53" xfId="4" applyFont="1" applyFill="1" applyBorder="1" applyAlignment="1">
      <alignment horizontal="center" vertical="center" shrinkToFit="1"/>
    </xf>
    <xf numFmtId="0" fontId="8" fillId="3" borderId="54" xfId="4" applyFont="1" applyFill="1" applyBorder="1">
      <alignment vertical="center"/>
    </xf>
    <xf numFmtId="0" fontId="2" fillId="3" borderId="8" xfId="4" applyFont="1" applyFill="1" applyBorder="1">
      <alignment vertical="center"/>
    </xf>
    <xf numFmtId="0" fontId="8" fillId="3" borderId="54" xfId="4" applyFont="1" applyFill="1" applyBorder="1" applyAlignment="1">
      <alignment horizontal="left" vertical="center"/>
    </xf>
    <xf numFmtId="0" fontId="8" fillId="3" borderId="4" xfId="4" applyFont="1" applyFill="1" applyBorder="1" applyAlignment="1">
      <alignment horizontal="left" vertical="center"/>
    </xf>
    <xf numFmtId="0" fontId="8" fillId="3" borderId="53" xfId="4" applyFont="1" applyFill="1" applyBorder="1" applyAlignment="1">
      <alignment horizontal="left" vertical="center"/>
    </xf>
    <xf numFmtId="0" fontId="8" fillId="3" borderId="54" xfId="4" applyFont="1" applyFill="1" applyBorder="1" applyAlignment="1">
      <alignment horizontal="center" vertical="center"/>
    </xf>
    <xf numFmtId="0" fontId="2" fillId="3" borderId="4" xfId="4" applyFont="1" applyFill="1" applyBorder="1" applyAlignment="1">
      <alignment horizontal="center" vertical="center"/>
    </xf>
    <xf numFmtId="0" fontId="8" fillId="3" borderId="7" xfId="4" applyFont="1" applyFill="1" applyBorder="1" applyAlignment="1">
      <alignment horizontal="distributed" vertical="center" indent="1"/>
    </xf>
    <xf numFmtId="0" fontId="2" fillId="3" borderId="4" xfId="4" applyFont="1" applyFill="1" applyBorder="1" applyAlignment="1">
      <alignment horizontal="distributed" vertical="center" indent="1"/>
    </xf>
    <xf numFmtId="0" fontId="2" fillId="3" borderId="8" xfId="4" applyFont="1" applyFill="1" applyBorder="1" applyAlignment="1">
      <alignment horizontal="distributed" vertical="center" indent="1"/>
    </xf>
    <xf numFmtId="0" fontId="8" fillId="3" borderId="7" xfId="4" applyFont="1" applyFill="1" applyBorder="1" applyAlignment="1">
      <alignment horizontal="left" vertical="center" shrinkToFit="1"/>
    </xf>
    <xf numFmtId="0" fontId="8" fillId="3" borderId="4" xfId="4" applyFont="1" applyFill="1" applyBorder="1" applyAlignment="1">
      <alignment horizontal="left" vertical="center" shrinkToFit="1"/>
    </xf>
    <xf numFmtId="0" fontId="8" fillId="3" borderId="53" xfId="4" applyFont="1" applyFill="1" applyBorder="1" applyAlignment="1">
      <alignment horizontal="left" vertical="center" shrinkToFit="1"/>
    </xf>
    <xf numFmtId="0" fontId="55" fillId="3" borderId="0" xfId="4" applyFont="1" applyFill="1" applyAlignment="1">
      <alignment horizontal="center" vertical="distributed" textRotation="255"/>
    </xf>
    <xf numFmtId="0" fontId="36" fillId="3" borderId="55" xfId="4" applyNumberFormat="1" applyFont="1" applyFill="1" applyBorder="1" applyAlignment="1">
      <alignment horizontal="center" vertical="center" shrinkToFit="1"/>
    </xf>
    <xf numFmtId="0" fontId="36" fillId="3" borderId="56" xfId="4" applyNumberFormat="1" applyFont="1" applyFill="1" applyBorder="1" applyAlignment="1">
      <alignment horizontal="center" vertical="center" shrinkToFit="1"/>
    </xf>
    <xf numFmtId="0" fontId="36" fillId="3" borderId="57" xfId="4" applyNumberFormat="1" applyFont="1" applyFill="1" applyBorder="1" applyAlignment="1">
      <alignment horizontal="center" vertical="center" shrinkToFit="1"/>
    </xf>
    <xf numFmtId="49" fontId="56" fillId="3" borderId="58" xfId="4" applyNumberFormat="1" applyFont="1" applyFill="1" applyBorder="1" applyAlignment="1">
      <alignment horizontal="center" vertical="center" shrinkToFit="1"/>
    </xf>
    <xf numFmtId="49" fontId="56" fillId="3" borderId="56" xfId="4" applyNumberFormat="1" applyFont="1" applyFill="1" applyBorder="1" applyAlignment="1">
      <alignment horizontal="center" vertical="center" shrinkToFit="1"/>
    </xf>
    <xf numFmtId="49" fontId="56" fillId="3" borderId="57" xfId="4" applyNumberFormat="1" applyFont="1" applyFill="1" applyBorder="1" applyAlignment="1">
      <alignment horizontal="center" vertical="center" shrinkToFit="1"/>
    </xf>
    <xf numFmtId="184" fontId="36" fillId="3" borderId="58" xfId="4" applyNumberFormat="1" applyFont="1" applyFill="1" applyBorder="1" applyAlignment="1">
      <alignment horizontal="center" vertical="center" shrinkToFit="1"/>
    </xf>
    <xf numFmtId="184" fontId="36" fillId="3" borderId="56" xfId="4" applyNumberFormat="1" applyFont="1" applyFill="1" applyBorder="1" applyAlignment="1">
      <alignment horizontal="center" vertical="center" shrinkToFit="1"/>
    </xf>
    <xf numFmtId="184" fontId="36" fillId="3" borderId="59" xfId="4" applyNumberFormat="1" applyFont="1" applyFill="1" applyBorder="1" applyAlignment="1">
      <alignment horizontal="center" vertical="center" shrinkToFit="1"/>
    </xf>
    <xf numFmtId="0" fontId="16" fillId="3" borderId="60" xfId="4" applyFont="1" applyFill="1" applyBorder="1" applyAlignment="1">
      <alignment horizontal="center" vertical="center" shrinkToFit="1"/>
    </xf>
    <xf numFmtId="0" fontId="16" fillId="3" borderId="61" xfId="4" applyFont="1" applyFill="1" applyBorder="1" applyAlignment="1">
      <alignment horizontal="center" vertical="center" shrinkToFit="1"/>
    </xf>
    <xf numFmtId="0" fontId="16" fillId="3" borderId="62" xfId="4" applyFont="1" applyFill="1" applyBorder="1" applyAlignment="1">
      <alignment horizontal="center" vertical="center" shrinkToFit="1"/>
    </xf>
    <xf numFmtId="0" fontId="8" fillId="3" borderId="9" xfId="4" applyFont="1" applyFill="1" applyBorder="1" applyAlignment="1">
      <alignment horizontal="right" vertical="center"/>
    </xf>
    <xf numFmtId="0" fontId="2" fillId="3" borderId="0" xfId="4" applyFont="1" applyFill="1" applyAlignment="1">
      <alignment horizontal="right" vertical="center"/>
    </xf>
    <xf numFmtId="0" fontId="2" fillId="3" borderId="63" xfId="4" applyFont="1" applyFill="1" applyBorder="1" applyAlignment="1">
      <alignment horizontal="right" vertical="center"/>
    </xf>
    <xf numFmtId="0" fontId="58" fillId="3" borderId="64" xfId="4" applyFont="1" applyFill="1" applyBorder="1" applyAlignment="1">
      <alignment horizontal="center" vertical="center"/>
    </xf>
    <xf numFmtId="0" fontId="58" fillId="3" borderId="0" xfId="4" applyFont="1" applyFill="1" applyAlignment="1">
      <alignment horizontal="center" vertical="center"/>
    </xf>
    <xf numFmtId="0" fontId="58" fillId="3" borderId="63" xfId="4" applyFont="1" applyFill="1" applyBorder="1" applyAlignment="1">
      <alignment horizontal="center" vertical="center"/>
    </xf>
    <xf numFmtId="0" fontId="36" fillId="3" borderId="64" xfId="4" applyFont="1" applyFill="1" applyBorder="1" applyAlignment="1">
      <alignment horizontal="center" vertical="center" shrinkToFit="1"/>
    </xf>
    <xf numFmtId="0" fontId="36" fillId="3" borderId="0" xfId="4" applyFont="1" applyFill="1" applyAlignment="1">
      <alignment horizontal="center" vertical="center" shrinkToFit="1"/>
    </xf>
    <xf numFmtId="0" fontId="8" fillId="3" borderId="65" xfId="4" applyFont="1" applyFill="1" applyBorder="1" applyAlignment="1">
      <alignment horizontal="center" vertical="center"/>
    </xf>
    <xf numFmtId="0" fontId="8" fillId="3" borderId="67" xfId="4" applyFont="1" applyFill="1" applyBorder="1" applyAlignment="1">
      <alignment horizontal="center" vertical="center"/>
    </xf>
    <xf numFmtId="0" fontId="8" fillId="3" borderId="9" xfId="4" applyFont="1" applyFill="1" applyBorder="1" applyAlignment="1">
      <alignment horizontal="center" vertical="center"/>
    </xf>
    <xf numFmtId="0" fontId="8" fillId="3" borderId="63" xfId="4" applyFont="1" applyFill="1" applyBorder="1" applyAlignment="1">
      <alignment horizontal="center" vertical="center"/>
    </xf>
    <xf numFmtId="0" fontId="8" fillId="3" borderId="0" xfId="4" applyFont="1" applyFill="1" applyAlignment="1">
      <alignment horizontal="center" vertical="center"/>
    </xf>
    <xf numFmtId="0" fontId="8" fillId="3" borderId="55" xfId="4" applyFont="1" applyFill="1" applyBorder="1" applyAlignment="1">
      <alignment horizontal="center" vertical="center"/>
    </xf>
    <xf numFmtId="0" fontId="8" fillId="3" borderId="57" xfId="4" applyFont="1" applyFill="1" applyBorder="1" applyAlignment="1">
      <alignment horizontal="center" vertical="center"/>
    </xf>
    <xf numFmtId="0" fontId="11" fillId="3" borderId="68" xfId="4" applyFont="1" applyFill="1" applyBorder="1" applyAlignment="1">
      <alignment horizontal="left" vertical="top"/>
    </xf>
    <xf numFmtId="0" fontId="11" fillId="3" borderId="69" xfId="4" applyFont="1" applyFill="1" applyBorder="1" applyAlignment="1">
      <alignment horizontal="left" vertical="top"/>
    </xf>
    <xf numFmtId="0" fontId="11" fillId="3" borderId="0" xfId="4" applyFont="1" applyFill="1" applyAlignment="1">
      <alignment horizontal="left" vertical="top"/>
    </xf>
    <xf numFmtId="0" fontId="11" fillId="3" borderId="70" xfId="4" applyFont="1" applyFill="1" applyBorder="1" applyAlignment="1">
      <alignment horizontal="left" vertical="top"/>
    </xf>
    <xf numFmtId="0" fontId="11" fillId="3" borderId="64" xfId="4" applyFont="1" applyFill="1" applyBorder="1" applyAlignment="1">
      <alignment horizontal="left" vertical="top"/>
    </xf>
    <xf numFmtId="0" fontId="11" fillId="3" borderId="0" xfId="4" applyFont="1" applyFill="1" applyBorder="1" applyAlignment="1">
      <alignment horizontal="left" vertical="top"/>
    </xf>
    <xf numFmtId="0" fontId="11" fillId="3" borderId="10" xfId="4" applyFont="1" applyFill="1" applyBorder="1" applyAlignment="1">
      <alignment horizontal="left" vertical="top"/>
    </xf>
    <xf numFmtId="0" fontId="11" fillId="3" borderId="58" xfId="4" applyFont="1" applyFill="1" applyBorder="1" applyAlignment="1">
      <alignment horizontal="left" vertical="top"/>
    </xf>
    <xf numFmtId="0" fontId="11" fillId="3" borderId="56" xfId="4" applyFont="1" applyFill="1" applyBorder="1" applyAlignment="1">
      <alignment horizontal="left" vertical="top"/>
    </xf>
    <xf numFmtId="0" fontId="11" fillId="3" borderId="59" xfId="4" applyFont="1" applyFill="1" applyBorder="1" applyAlignment="1">
      <alignment horizontal="left" vertical="top"/>
    </xf>
    <xf numFmtId="0" fontId="8" fillId="3" borderId="71" xfId="4" applyFont="1" applyFill="1" applyBorder="1" applyAlignment="1">
      <alignment horizontal="center" vertical="center"/>
    </xf>
    <xf numFmtId="0" fontId="2" fillId="3" borderId="72" xfId="4" applyFont="1" applyFill="1" applyBorder="1" applyAlignment="1">
      <alignment horizontal="center" vertical="center"/>
    </xf>
    <xf numFmtId="0" fontId="2" fillId="3" borderId="73" xfId="4" applyFont="1" applyFill="1" applyBorder="1" applyAlignment="1">
      <alignment horizontal="center" vertical="center"/>
    </xf>
    <xf numFmtId="0" fontId="21" fillId="3" borderId="0" xfId="4" applyFont="1" applyFill="1" applyAlignment="1" applyProtection="1">
      <alignment horizontal="left" vertical="center" wrapText="1"/>
      <protection locked="0"/>
    </xf>
    <xf numFmtId="0" fontId="8" fillId="3" borderId="85" xfId="4" applyFont="1" applyFill="1" applyBorder="1" applyAlignment="1">
      <alignment vertical="center" textRotation="255"/>
    </xf>
    <xf numFmtId="0" fontId="2" fillId="3" borderId="52" xfId="4" applyFont="1" applyFill="1" applyBorder="1" applyAlignment="1">
      <alignment vertical="center" textRotation="255"/>
    </xf>
    <xf numFmtId="0" fontId="2" fillId="3" borderId="85" xfId="4" applyFont="1" applyFill="1" applyBorder="1" applyAlignment="1">
      <alignment vertical="center" textRotation="255"/>
    </xf>
    <xf numFmtId="0" fontId="22" fillId="3" borderId="52" xfId="4" applyFont="1" applyFill="1" applyBorder="1" applyAlignment="1">
      <alignment horizontal="distributed" vertical="center"/>
    </xf>
    <xf numFmtId="0" fontId="23" fillId="3" borderId="52" xfId="4" applyFont="1" applyFill="1" applyBorder="1" applyAlignment="1">
      <alignment horizontal="distributed" vertical="center"/>
    </xf>
    <xf numFmtId="0" fontId="23" fillId="3" borderId="86" xfId="4" applyFont="1" applyFill="1" applyBorder="1" applyAlignment="1">
      <alignment horizontal="distributed" vertical="center"/>
    </xf>
    <xf numFmtId="0" fontId="8" fillId="3" borderId="85" xfId="4" applyFont="1" applyFill="1" applyBorder="1" applyAlignment="1">
      <alignment horizontal="center" vertical="center"/>
    </xf>
    <xf numFmtId="0" fontId="8" fillId="3" borderId="52" xfId="4" applyFont="1" applyFill="1" applyBorder="1" applyAlignment="1">
      <alignment horizontal="center" vertical="center"/>
    </xf>
    <xf numFmtId="185" fontId="40" fillId="3" borderId="98" xfId="4" applyNumberFormat="1" applyFont="1" applyFill="1" applyBorder="1" applyAlignment="1">
      <alignment horizontal="center" vertical="center" shrinkToFit="1"/>
    </xf>
    <xf numFmtId="0" fontId="8" fillId="3" borderId="94" xfId="4" applyFont="1" applyFill="1" applyBorder="1" applyAlignment="1">
      <alignment horizontal="center" vertical="center"/>
    </xf>
    <xf numFmtId="0" fontId="8" fillId="3" borderId="95" xfId="4" applyFont="1" applyFill="1" applyBorder="1" applyAlignment="1">
      <alignment horizontal="center" vertical="center"/>
    </xf>
    <xf numFmtId="0" fontId="8" fillId="3" borderId="96" xfId="4" applyFont="1" applyFill="1" applyBorder="1" applyAlignment="1">
      <alignment horizontal="center" vertical="center"/>
    </xf>
    <xf numFmtId="185" fontId="40" fillId="3" borderId="99" xfId="4" applyNumberFormat="1" applyFont="1" applyFill="1" applyBorder="1" applyAlignment="1">
      <alignment horizontal="center" vertical="center" shrinkToFit="1"/>
    </xf>
    <xf numFmtId="185" fontId="40" fillId="3" borderId="55" xfId="4" applyNumberFormat="1" applyFont="1" applyFill="1" applyBorder="1" applyAlignment="1">
      <alignment horizontal="center" vertical="center"/>
    </xf>
    <xf numFmtId="185" fontId="40" fillId="3" borderId="56" xfId="4" applyNumberFormat="1" applyFont="1" applyFill="1" applyBorder="1" applyAlignment="1">
      <alignment horizontal="center" vertical="center"/>
    </xf>
    <xf numFmtId="0" fontId="21" fillId="3" borderId="0" xfId="4" applyFont="1" applyFill="1" applyAlignment="1" applyProtection="1">
      <alignment horizontal="left" vertical="center" shrinkToFit="1"/>
      <protection locked="0"/>
    </xf>
    <xf numFmtId="0" fontId="8" fillId="3" borderId="11" xfId="4" applyFont="1" applyFill="1" applyBorder="1" applyAlignment="1">
      <alignment horizontal="center" vertical="center"/>
    </xf>
    <xf numFmtId="0" fontId="8" fillId="3" borderId="5" xfId="4" applyFont="1" applyFill="1" applyBorder="1" applyAlignment="1">
      <alignment horizontal="center" vertical="center"/>
    </xf>
    <xf numFmtId="0" fontId="8" fillId="3" borderId="13" xfId="4" applyFont="1" applyFill="1" applyBorder="1" applyAlignment="1">
      <alignment horizontal="center" vertical="center"/>
    </xf>
    <xf numFmtId="179" fontId="58" fillId="3" borderId="11" xfId="4" applyNumberFormat="1" applyFont="1" applyFill="1" applyBorder="1" applyAlignment="1">
      <alignment horizontal="center" vertical="center"/>
    </xf>
    <xf numFmtId="179" fontId="58" fillId="3" borderId="5" xfId="4" applyNumberFormat="1" applyFont="1" applyFill="1" applyBorder="1" applyAlignment="1">
      <alignment horizontal="center" vertical="center"/>
    </xf>
    <xf numFmtId="179" fontId="58" fillId="3" borderId="13" xfId="4" applyNumberFormat="1" applyFont="1" applyFill="1" applyBorder="1" applyAlignment="1">
      <alignment horizontal="center" vertical="center"/>
    </xf>
    <xf numFmtId="0" fontId="21" fillId="3" borderId="56" xfId="4" applyFont="1" applyFill="1" applyBorder="1" applyAlignment="1" applyProtection="1">
      <alignment horizontal="left" vertical="center" shrinkToFit="1"/>
      <protection locked="0"/>
    </xf>
    <xf numFmtId="0" fontId="3" fillId="3" borderId="0" xfId="4" applyFont="1" applyFill="1" applyAlignment="1">
      <alignment horizontal="right" vertical="center" shrinkToFit="1"/>
    </xf>
    <xf numFmtId="0" fontId="3" fillId="3" borderId="56" xfId="4" applyFont="1" applyFill="1" applyBorder="1" applyAlignment="1">
      <alignment horizontal="right" vertical="center" shrinkToFit="1"/>
    </xf>
    <xf numFmtId="0" fontId="11" fillId="3" borderId="58" xfId="4" applyFont="1" applyFill="1" applyBorder="1" applyAlignment="1">
      <alignment horizontal="center" vertical="center"/>
    </xf>
    <xf numFmtId="0" fontId="11" fillId="3" borderId="56" xfId="4" applyFont="1" applyFill="1" applyBorder="1" applyAlignment="1">
      <alignment horizontal="center" vertical="center"/>
    </xf>
    <xf numFmtId="0" fontId="11" fillId="3" borderId="57" xfId="4" applyFont="1" applyFill="1" applyBorder="1" applyAlignment="1">
      <alignment horizontal="center" vertical="center"/>
    </xf>
    <xf numFmtId="0" fontId="11" fillId="3" borderId="54" xfId="4" applyFont="1" applyFill="1" applyBorder="1" applyAlignment="1">
      <alignment horizontal="left" vertical="center"/>
    </xf>
    <xf numFmtId="0" fontId="11" fillId="3" borderId="82" xfId="4" applyFont="1" applyFill="1" applyBorder="1" applyAlignment="1">
      <alignment vertical="center" wrapText="1"/>
    </xf>
    <xf numFmtId="0" fontId="11" fillId="3" borderId="66" xfId="4" applyFont="1" applyFill="1" applyBorder="1">
      <alignment vertical="center"/>
    </xf>
    <xf numFmtId="0" fontId="11" fillId="3" borderId="64" xfId="4" applyFont="1" applyFill="1" applyBorder="1">
      <alignment vertical="center"/>
    </xf>
    <xf numFmtId="0" fontId="11" fillId="3" borderId="0" xfId="4" applyFont="1" applyFill="1">
      <alignment vertical="center"/>
    </xf>
    <xf numFmtId="0" fontId="8" fillId="3" borderId="64" xfId="4" applyFont="1" applyFill="1" applyBorder="1" applyAlignment="1">
      <alignment horizontal="center" vertical="center"/>
    </xf>
    <xf numFmtId="0" fontId="8" fillId="3" borderId="10" xfId="4" applyFont="1" applyFill="1" applyBorder="1" applyAlignment="1">
      <alignment horizontal="center" vertical="center"/>
    </xf>
    <xf numFmtId="0" fontId="11" fillId="3" borderId="101" xfId="4" applyFont="1" applyFill="1" applyBorder="1" applyAlignment="1">
      <alignment horizontal="left" vertical="center"/>
    </xf>
    <xf numFmtId="0" fontId="11" fillId="3" borderId="102" xfId="4" applyFont="1" applyFill="1" applyBorder="1" applyAlignment="1">
      <alignment horizontal="left" vertical="center"/>
    </xf>
    <xf numFmtId="0" fontId="11" fillId="3" borderId="9" xfId="4" applyFont="1" applyFill="1" applyBorder="1" applyAlignment="1">
      <alignment horizontal="left" vertical="center"/>
    </xf>
    <xf numFmtId="0" fontId="11" fillId="3" borderId="0" xfId="4" applyFont="1" applyFill="1" applyAlignment="1">
      <alignment horizontal="left" vertical="center"/>
    </xf>
    <xf numFmtId="0" fontId="55" fillId="3" borderId="0" xfId="4" applyFont="1" applyFill="1" applyAlignment="1">
      <alignment horizontal="center" vertical="center" textRotation="255" shrinkToFit="1"/>
    </xf>
    <xf numFmtId="0" fontId="36" fillId="3" borderId="55" xfId="4" applyFont="1" applyFill="1" applyBorder="1" applyAlignment="1">
      <alignment horizontal="center" vertical="center" shrinkToFit="1"/>
    </xf>
    <xf numFmtId="0" fontId="36" fillId="3" borderId="56" xfId="4" applyFont="1" applyFill="1" applyBorder="1" applyAlignment="1">
      <alignment horizontal="center" vertical="center" shrinkToFit="1"/>
    </xf>
    <xf numFmtId="0" fontId="36" fillId="3" borderId="57" xfId="4" applyFont="1" applyFill="1" applyBorder="1" applyAlignment="1">
      <alignment horizontal="center" vertical="center" shrinkToFit="1"/>
    </xf>
    <xf numFmtId="0" fontId="27" fillId="3" borderId="0" xfId="4" applyFont="1" applyFill="1" applyAlignment="1">
      <alignment horizontal="right" vertical="center" shrinkToFit="1"/>
    </xf>
    <xf numFmtId="0" fontId="27" fillId="3" borderId="56" xfId="4" applyFont="1" applyFill="1" applyBorder="1" applyAlignment="1">
      <alignment horizontal="right" vertical="center" shrinkToFit="1"/>
    </xf>
    <xf numFmtId="0" fontId="11" fillId="3" borderId="79" xfId="4" applyFont="1" applyFill="1" applyBorder="1" applyAlignment="1">
      <alignment horizontal="center" vertical="center"/>
    </xf>
    <xf numFmtId="0" fontId="11" fillId="3" borderId="77" xfId="4" applyFont="1" applyFill="1" applyBorder="1" applyAlignment="1">
      <alignment horizontal="center" vertical="center"/>
    </xf>
    <xf numFmtId="0" fontId="11" fillId="3" borderId="78" xfId="4" applyFont="1" applyFill="1" applyBorder="1" applyAlignment="1">
      <alignment horizontal="center" vertical="center"/>
    </xf>
    <xf numFmtId="0" fontId="11" fillId="3" borderId="65" xfId="4" applyFont="1" applyFill="1" applyBorder="1" applyAlignment="1">
      <alignment horizontal="center" vertical="center"/>
    </xf>
    <xf numFmtId="0" fontId="11" fillId="3" borderId="66" xfId="4" applyFont="1" applyFill="1" applyBorder="1" applyAlignment="1">
      <alignment horizontal="center" vertical="center"/>
    </xf>
    <xf numFmtId="0" fontId="11" fillId="3" borderId="67" xfId="4" applyFont="1" applyFill="1" applyBorder="1" applyAlignment="1">
      <alignment horizontal="center" vertical="center"/>
    </xf>
    <xf numFmtId="0" fontId="11" fillId="3" borderId="9" xfId="4" applyFont="1" applyFill="1" applyBorder="1" applyAlignment="1">
      <alignment horizontal="center" vertical="center"/>
    </xf>
    <xf numFmtId="0" fontId="11" fillId="3" borderId="0" xfId="4" applyFont="1" applyFill="1" applyBorder="1" applyAlignment="1">
      <alignment horizontal="center" vertical="center"/>
    </xf>
    <xf numFmtId="0" fontId="11" fillId="3" borderId="63" xfId="4" applyFont="1" applyFill="1" applyBorder="1" applyAlignment="1">
      <alignment horizontal="center" vertical="center"/>
    </xf>
    <xf numFmtId="0" fontId="11" fillId="3" borderId="0" xfId="4" applyFont="1" applyFill="1" applyAlignment="1">
      <alignment horizontal="center" vertical="center"/>
    </xf>
    <xf numFmtId="0" fontId="11" fillId="3" borderId="68" xfId="4" applyFont="1" applyFill="1" applyBorder="1" applyAlignment="1">
      <alignment horizontal="left" vertical="center" wrapText="1"/>
    </xf>
    <xf numFmtId="0" fontId="11" fillId="3" borderId="69" xfId="4" applyFont="1" applyFill="1" applyBorder="1" applyAlignment="1">
      <alignment horizontal="left" vertical="center"/>
    </xf>
    <xf numFmtId="0" fontId="11" fillId="3" borderId="70" xfId="4" applyFont="1" applyFill="1" applyBorder="1" applyAlignment="1">
      <alignment horizontal="left" vertical="center"/>
    </xf>
    <xf numFmtId="0" fontId="11" fillId="3" borderId="64" xfId="4" applyFont="1" applyFill="1" applyBorder="1" applyAlignment="1">
      <alignment horizontal="left" vertical="center" wrapText="1"/>
    </xf>
    <xf numFmtId="0" fontId="11" fillId="3" borderId="0" xfId="4" applyFont="1" applyFill="1" applyBorder="1" applyAlignment="1">
      <alignment horizontal="left" vertical="center"/>
    </xf>
    <xf numFmtId="0" fontId="11" fillId="3" borderId="10" xfId="4" applyFont="1" applyFill="1" applyBorder="1" applyAlignment="1">
      <alignment horizontal="left" vertical="center"/>
    </xf>
    <xf numFmtId="0" fontId="11" fillId="3" borderId="64" xfId="4" applyFont="1" applyFill="1" applyBorder="1" applyAlignment="1">
      <alignment horizontal="left" vertical="center"/>
    </xf>
    <xf numFmtId="0" fontId="11" fillId="3" borderId="58" xfId="4" applyFont="1" applyFill="1" applyBorder="1" applyAlignment="1">
      <alignment horizontal="left" vertical="center"/>
    </xf>
    <xf numFmtId="0" fontId="11" fillId="3" borderId="56" xfId="4" applyFont="1" applyFill="1" applyBorder="1" applyAlignment="1">
      <alignment horizontal="left" vertical="center"/>
    </xf>
    <xf numFmtId="0" fontId="11" fillId="3" borderId="59" xfId="4" applyFont="1" applyFill="1" applyBorder="1" applyAlignment="1">
      <alignment horizontal="left" vertical="center"/>
    </xf>
    <xf numFmtId="0" fontId="2" fillId="3" borderId="109" xfId="4" applyFont="1" applyFill="1" applyBorder="1" applyAlignment="1">
      <alignment horizontal="center" vertical="center"/>
    </xf>
    <xf numFmtId="0" fontId="2" fillId="3" borderId="110" xfId="4" applyFont="1" applyFill="1" applyBorder="1" applyAlignment="1">
      <alignment horizontal="center" vertical="center"/>
    </xf>
    <xf numFmtId="0" fontId="2" fillId="3" borderId="0" xfId="4" applyFont="1" applyFill="1" applyAlignment="1">
      <alignment horizontal="center" vertical="center"/>
    </xf>
    <xf numFmtId="0" fontId="2" fillId="3" borderId="119" xfId="4" applyFont="1" applyFill="1" applyBorder="1" applyAlignment="1">
      <alignment horizontal="center" vertical="center"/>
    </xf>
    <xf numFmtId="0" fontId="2" fillId="3" borderId="5" xfId="4" applyFont="1" applyFill="1" applyBorder="1" applyAlignment="1">
      <alignment horizontal="center" vertical="center"/>
    </xf>
    <xf numFmtId="0" fontId="2" fillId="3" borderId="128" xfId="4" applyFont="1" applyFill="1" applyBorder="1" applyAlignment="1">
      <alignment horizontal="center" vertical="center"/>
    </xf>
    <xf numFmtId="0" fontId="2" fillId="3" borderId="111" xfId="4" applyFont="1" applyFill="1" applyBorder="1" applyAlignment="1">
      <alignment horizontal="center" vertical="center"/>
    </xf>
    <xf numFmtId="0" fontId="2" fillId="3" borderId="120" xfId="4" applyFont="1" applyFill="1" applyBorder="1" applyAlignment="1">
      <alignment horizontal="center" vertical="center"/>
    </xf>
    <xf numFmtId="0" fontId="2" fillId="3" borderId="129" xfId="4" applyFont="1" applyFill="1" applyBorder="1" applyAlignment="1">
      <alignment horizontal="center" vertical="center"/>
    </xf>
    <xf numFmtId="0" fontId="8" fillId="3" borderId="112" xfId="4" applyFont="1" applyFill="1" applyBorder="1" applyAlignment="1">
      <alignment horizontal="center" vertical="center"/>
    </xf>
    <xf numFmtId="0" fontId="8" fillId="3" borderId="113" xfId="4" applyFont="1" applyFill="1" applyBorder="1" applyAlignment="1">
      <alignment horizontal="center" vertical="center"/>
    </xf>
    <xf numFmtId="0" fontId="8" fillId="3" borderId="121" xfId="4" applyFont="1" applyFill="1" applyBorder="1" applyAlignment="1">
      <alignment horizontal="center" vertical="center"/>
    </xf>
    <xf numFmtId="0" fontId="8" fillId="3" borderId="122" xfId="4" applyFont="1" applyFill="1" applyBorder="1" applyAlignment="1">
      <alignment horizontal="center" vertical="center"/>
    </xf>
    <xf numFmtId="0" fontId="8" fillId="3" borderId="130" xfId="4" applyFont="1" applyFill="1" applyBorder="1" applyAlignment="1">
      <alignment horizontal="center" vertical="center"/>
    </xf>
    <xf numFmtId="0" fontId="8" fillId="3" borderId="131" xfId="4" applyFont="1" applyFill="1" applyBorder="1" applyAlignment="1">
      <alignment horizontal="center" vertical="center"/>
    </xf>
    <xf numFmtId="0" fontId="8" fillId="3" borderId="114" xfId="4" applyFont="1" applyFill="1" applyBorder="1" applyAlignment="1">
      <alignment horizontal="center" vertical="center"/>
    </xf>
    <xf numFmtId="0" fontId="8" fillId="3" borderId="123" xfId="4" applyFont="1" applyFill="1" applyBorder="1" applyAlignment="1">
      <alignment horizontal="center" vertical="center"/>
    </xf>
    <xf numFmtId="0" fontId="8" fillId="3" borderId="132" xfId="4" applyFont="1" applyFill="1" applyBorder="1" applyAlignment="1">
      <alignment horizontal="center" vertical="center"/>
    </xf>
    <xf numFmtId="0" fontId="8" fillId="3" borderId="115" xfId="4" applyFont="1" applyFill="1" applyBorder="1" applyAlignment="1">
      <alignment horizontal="center" vertical="center"/>
    </xf>
    <xf numFmtId="0" fontId="8" fillId="3" borderId="116" xfId="4" applyFont="1" applyFill="1" applyBorder="1" applyAlignment="1">
      <alignment horizontal="center" vertical="center"/>
    </xf>
    <xf numFmtId="0" fontId="8" fillId="3" borderId="124" xfId="4" applyFont="1" applyFill="1" applyBorder="1" applyAlignment="1">
      <alignment horizontal="center" vertical="center"/>
    </xf>
    <xf numFmtId="0" fontId="8" fillId="3" borderId="125" xfId="4" applyFont="1" applyFill="1" applyBorder="1" applyAlignment="1">
      <alignment horizontal="center" vertical="center"/>
    </xf>
    <xf numFmtId="0" fontId="8" fillId="3" borderId="133" xfId="4" applyFont="1" applyFill="1" applyBorder="1" applyAlignment="1">
      <alignment horizontal="center" vertical="center"/>
    </xf>
    <xf numFmtId="0" fontId="8" fillId="3" borderId="134" xfId="4" applyFont="1" applyFill="1" applyBorder="1" applyAlignment="1">
      <alignment horizontal="center" vertical="center"/>
    </xf>
    <xf numFmtId="0" fontId="11" fillId="3" borderId="145" xfId="4" applyFont="1" applyFill="1" applyBorder="1" applyAlignment="1">
      <alignment horizontal="center" vertical="center"/>
    </xf>
    <xf numFmtId="0" fontId="11" fillId="3" borderId="146" xfId="4" applyFont="1" applyFill="1" applyBorder="1" applyAlignment="1">
      <alignment horizontal="center" vertical="center"/>
    </xf>
    <xf numFmtId="185" fontId="40" fillId="3" borderId="94" xfId="4" applyNumberFormat="1" applyFont="1" applyFill="1" applyBorder="1" applyAlignment="1">
      <alignment horizontal="center" vertical="center" shrinkToFit="1"/>
    </xf>
    <xf numFmtId="185" fontId="40" fillId="3" borderId="95" xfId="4" applyNumberFormat="1" applyFont="1" applyFill="1" applyBorder="1" applyAlignment="1">
      <alignment horizontal="center" vertical="center" shrinkToFit="1"/>
    </xf>
    <xf numFmtId="0" fontId="8" fillId="3" borderId="139" xfId="4" applyFont="1" applyFill="1" applyBorder="1" applyAlignment="1">
      <alignment horizontal="center" vertical="center"/>
    </xf>
    <xf numFmtId="0" fontId="8" fillId="3" borderId="140" xfId="4" applyFont="1" applyFill="1" applyBorder="1" applyAlignment="1">
      <alignment horizontal="center" vertical="center"/>
    </xf>
    <xf numFmtId="185" fontId="40" fillId="3" borderId="92" xfId="4" applyNumberFormat="1" applyFont="1" applyFill="1" applyBorder="1" applyAlignment="1">
      <alignment horizontal="center" vertical="center"/>
    </xf>
    <xf numFmtId="0" fontId="19" fillId="3" borderId="7" xfId="4" quotePrefix="1" applyFont="1" applyFill="1" applyBorder="1" applyAlignment="1">
      <alignment horizontal="center" vertical="center"/>
    </xf>
    <xf numFmtId="0" fontId="19" fillId="3" borderId="8" xfId="4" applyFont="1" applyFill="1" applyBorder="1" applyAlignment="1">
      <alignment horizontal="center" vertical="center"/>
    </xf>
    <xf numFmtId="0" fontId="19" fillId="3" borderId="11" xfId="4" applyFont="1" applyFill="1" applyBorder="1" applyAlignment="1">
      <alignment horizontal="center" vertical="center"/>
    </xf>
    <xf numFmtId="0" fontId="19" fillId="3" borderId="13" xfId="4" applyFont="1" applyFill="1" applyBorder="1" applyAlignment="1">
      <alignment horizontal="center" vertical="center"/>
    </xf>
    <xf numFmtId="0" fontId="8" fillId="3" borderId="155" xfId="4" applyFont="1" applyFill="1" applyBorder="1" applyAlignment="1">
      <alignment horizontal="center" vertical="center"/>
    </xf>
    <xf numFmtId="0" fontId="8" fillId="3" borderId="141" xfId="4" applyFont="1" applyFill="1" applyBorder="1" applyAlignment="1">
      <alignment horizontal="center" vertical="center"/>
    </xf>
    <xf numFmtId="0" fontId="8" fillId="3" borderId="142" xfId="4" applyFont="1" applyFill="1" applyBorder="1" applyAlignment="1">
      <alignment horizontal="center" vertical="center"/>
    </xf>
    <xf numFmtId="0" fontId="8" fillId="3" borderId="143" xfId="4" applyFont="1" applyFill="1" applyBorder="1" applyAlignment="1">
      <alignment horizontal="center" vertical="center"/>
    </xf>
    <xf numFmtId="0" fontId="8" fillId="3" borderId="144" xfId="4" applyFont="1" applyFill="1" applyBorder="1" applyAlignment="1">
      <alignment horizontal="center" vertical="center"/>
    </xf>
    <xf numFmtId="0" fontId="8" fillId="3" borderId="145" xfId="4" applyFont="1" applyFill="1" applyBorder="1" applyAlignment="1">
      <alignment horizontal="center" vertical="center"/>
    </xf>
    <xf numFmtId="0" fontId="8" fillId="3" borderId="146" xfId="4" applyFont="1" applyFill="1" applyBorder="1" applyAlignment="1">
      <alignment horizontal="center" vertical="center"/>
    </xf>
    <xf numFmtId="0" fontId="11" fillId="3" borderId="144" xfId="4" applyFont="1" applyFill="1" applyBorder="1" applyAlignment="1">
      <alignment horizontal="center" vertical="center"/>
    </xf>
    <xf numFmtId="0" fontId="28" fillId="3" borderId="148" xfId="4" applyFont="1" applyFill="1" applyBorder="1" applyAlignment="1">
      <alignment horizontal="center" vertical="center"/>
    </xf>
    <xf numFmtId="0" fontId="28" fillId="3" borderId="149" xfId="4" applyFont="1" applyFill="1" applyBorder="1" applyAlignment="1">
      <alignment horizontal="center" vertical="center"/>
    </xf>
    <xf numFmtId="0" fontId="28" fillId="3" borderId="150" xfId="4" applyFont="1" applyFill="1" applyBorder="1" applyAlignment="1">
      <alignment horizontal="center" vertical="center"/>
    </xf>
    <xf numFmtId="0" fontId="28" fillId="3" borderId="151" xfId="4" applyFont="1" applyFill="1" applyBorder="1" applyAlignment="1">
      <alignment horizontal="center" vertical="center"/>
    </xf>
    <xf numFmtId="0" fontId="28" fillId="3" borderId="152" xfId="4" applyFont="1" applyFill="1" applyBorder="1" applyAlignment="1">
      <alignment horizontal="center" vertical="center"/>
    </xf>
    <xf numFmtId="0" fontId="28" fillId="3" borderId="153" xfId="4" applyFont="1" applyFill="1" applyBorder="1" applyAlignment="1">
      <alignment horizontal="center" vertical="center"/>
    </xf>
    <xf numFmtId="0" fontId="8" fillId="0" borderId="0" xfId="4" applyFont="1" applyAlignment="1">
      <alignment vertical="center" wrapText="1"/>
    </xf>
    <xf numFmtId="0" fontId="8" fillId="0" borderId="0" xfId="4" applyFont="1">
      <alignment vertical="center"/>
    </xf>
    <xf numFmtId="0" fontId="8" fillId="3" borderId="118" xfId="4" applyFont="1" applyFill="1" applyBorder="1" applyAlignment="1">
      <alignment horizontal="center" vertical="center"/>
    </xf>
    <xf numFmtId="0" fontId="8" fillId="3" borderId="127" xfId="4" applyFont="1" applyFill="1" applyBorder="1" applyAlignment="1">
      <alignment horizontal="center" vertical="center"/>
    </xf>
    <xf numFmtId="0" fontId="8" fillId="3" borderId="136" xfId="4" applyFont="1" applyFill="1" applyBorder="1" applyAlignment="1">
      <alignment horizontal="center" vertical="center"/>
    </xf>
    <xf numFmtId="0" fontId="8" fillId="3" borderId="107" xfId="4" applyFont="1" applyFill="1" applyBorder="1" applyAlignment="1">
      <alignment horizontal="center" vertical="center"/>
    </xf>
    <xf numFmtId="0" fontId="8" fillId="3" borderId="137" xfId="4" applyFont="1" applyFill="1" applyBorder="1" applyAlignment="1">
      <alignment horizontal="center" vertical="center"/>
    </xf>
    <xf numFmtId="0" fontId="2" fillId="3" borderId="108" xfId="4" applyFont="1" applyFill="1" applyBorder="1" applyAlignment="1">
      <alignment horizontal="center" vertical="center"/>
    </xf>
    <xf numFmtId="0" fontId="2" fillId="3" borderId="9" xfId="4" applyFont="1" applyFill="1" applyBorder="1" applyAlignment="1">
      <alignment horizontal="center" vertical="center"/>
    </xf>
    <xf numFmtId="0" fontId="2" fillId="3" borderId="11" xfId="4" applyFont="1" applyFill="1" applyBorder="1" applyAlignment="1">
      <alignment horizontal="center" vertical="center"/>
    </xf>
    <xf numFmtId="0" fontId="8" fillId="3" borderId="138" xfId="4" applyFont="1" applyFill="1" applyBorder="1" applyAlignment="1">
      <alignment horizontal="center" vertical="center"/>
    </xf>
    <xf numFmtId="0" fontId="8" fillId="3" borderId="117" xfId="4" applyFont="1" applyFill="1" applyBorder="1" applyAlignment="1">
      <alignment horizontal="center" vertical="center"/>
    </xf>
    <xf numFmtId="0" fontId="8" fillId="3" borderId="126" xfId="4" applyFont="1" applyFill="1" applyBorder="1" applyAlignment="1">
      <alignment horizontal="center" vertical="center"/>
    </xf>
    <xf numFmtId="0" fontId="8" fillId="3" borderId="135" xfId="4" applyFont="1" applyFill="1" applyBorder="1" applyAlignment="1">
      <alignment horizontal="center" vertical="center"/>
    </xf>
    <xf numFmtId="0" fontId="8" fillId="3" borderId="7" xfId="4" applyFont="1" applyFill="1" applyBorder="1" applyAlignment="1">
      <alignment horizontal="center" vertical="center"/>
    </xf>
    <xf numFmtId="0" fontId="8" fillId="3" borderId="4" xfId="4" applyFont="1" applyFill="1" applyBorder="1" applyAlignment="1">
      <alignment horizontal="center" vertical="center"/>
    </xf>
    <xf numFmtId="0" fontId="8" fillId="3" borderId="8" xfId="4" applyFont="1" applyFill="1" applyBorder="1" applyAlignment="1">
      <alignment horizontal="center" vertical="center"/>
    </xf>
    <xf numFmtId="0" fontId="11" fillId="3" borderId="148" xfId="4" applyFont="1" applyFill="1" applyBorder="1" applyAlignment="1">
      <alignment horizontal="center" vertical="center"/>
    </xf>
    <xf numFmtId="0" fontId="11" fillId="3" borderId="149" xfId="4" applyFont="1" applyFill="1" applyBorder="1" applyAlignment="1">
      <alignment horizontal="center" vertical="center"/>
    </xf>
    <xf numFmtId="0" fontId="11" fillId="3" borderId="7" xfId="4" applyFont="1" applyFill="1" applyBorder="1" applyAlignment="1">
      <alignment horizontal="center" vertical="center"/>
    </xf>
    <xf numFmtId="0" fontId="11" fillId="3" borderId="4" xfId="4" applyFont="1" applyFill="1" applyBorder="1" applyAlignment="1">
      <alignment horizontal="center" vertical="center"/>
    </xf>
    <xf numFmtId="0" fontId="11" fillId="3" borderId="53" xfId="4" applyFont="1" applyFill="1" applyBorder="1" applyAlignment="1">
      <alignment horizontal="center" vertical="center"/>
    </xf>
    <xf numFmtId="0" fontId="11" fillId="3" borderId="182" xfId="4" applyFont="1" applyFill="1" applyBorder="1" applyAlignment="1">
      <alignment horizontal="center" vertical="center"/>
    </xf>
    <xf numFmtId="0" fontId="11" fillId="3" borderId="67" xfId="4" applyFont="1" applyFill="1" applyBorder="1">
      <alignment vertical="center"/>
    </xf>
    <xf numFmtId="0" fontId="11" fillId="3" borderId="0" xfId="4" applyFont="1" applyFill="1" applyBorder="1">
      <alignment vertical="center"/>
    </xf>
    <xf numFmtId="0" fontId="11" fillId="3" borderId="63" xfId="4" applyFont="1" applyFill="1" applyBorder="1">
      <alignment vertical="center"/>
    </xf>
    <xf numFmtId="0" fontId="11" fillId="3" borderId="180" xfId="4" applyFont="1" applyFill="1" applyBorder="1">
      <alignment vertical="center"/>
    </xf>
    <xf numFmtId="0" fontId="11" fillId="3" borderId="61" xfId="4" applyFont="1" applyFill="1" applyBorder="1">
      <alignment vertical="center"/>
    </xf>
    <xf numFmtId="0" fontId="11" fillId="3" borderId="181" xfId="4" applyFont="1" applyFill="1" applyBorder="1">
      <alignment vertical="center"/>
    </xf>
    <xf numFmtId="0" fontId="30" fillId="4" borderId="7" xfId="2" applyFont="1" applyFill="1" applyBorder="1" applyAlignment="1">
      <alignment horizontal="left" vertical="center" indent="4"/>
    </xf>
    <xf numFmtId="0" fontId="5" fillId="4" borderId="4" xfId="2" applyFill="1" applyBorder="1" applyAlignment="1">
      <alignment horizontal="left" vertical="center" indent="4"/>
    </xf>
    <xf numFmtId="0" fontId="30" fillId="4" borderId="54" xfId="2" applyFont="1" applyFill="1" applyBorder="1" applyAlignment="1">
      <alignment horizontal="center" vertical="center"/>
    </xf>
    <xf numFmtId="0" fontId="5" fillId="4" borderId="8" xfId="2" applyFill="1" applyBorder="1" applyAlignment="1">
      <alignment horizontal="center" vertical="center"/>
    </xf>
    <xf numFmtId="0" fontId="30" fillId="4" borderId="11" xfId="2" applyFont="1" applyFill="1" applyBorder="1">
      <alignment vertical="center"/>
    </xf>
    <xf numFmtId="0" fontId="5" fillId="4" borderId="5" xfId="2" applyFill="1" applyBorder="1">
      <alignment vertical="center"/>
    </xf>
    <xf numFmtId="0" fontId="30" fillId="4" borderId="156" xfId="2" applyFont="1" applyFill="1" applyBorder="1" applyAlignment="1">
      <alignment horizontal="center" vertical="center"/>
    </xf>
    <xf numFmtId="0" fontId="5" fillId="4" borderId="157" xfId="2" applyFill="1" applyBorder="1">
      <alignment vertical="center"/>
    </xf>
    <xf numFmtId="0" fontId="5" fillId="4" borderId="158" xfId="2" applyFill="1" applyBorder="1">
      <alignment vertical="center"/>
    </xf>
    <xf numFmtId="0" fontId="30" fillId="4" borderId="159" xfId="2" applyFont="1" applyFill="1" applyBorder="1" applyAlignment="1">
      <alignment horizontal="center" vertical="center" wrapText="1"/>
    </xf>
    <xf numFmtId="0" fontId="5" fillId="4" borderId="13" xfId="2" applyFill="1" applyBorder="1" applyAlignment="1">
      <alignment horizontal="center" vertical="center"/>
    </xf>
    <xf numFmtId="0" fontId="32" fillId="0" borderId="75" xfId="2" applyFont="1" applyBorder="1" applyAlignment="1">
      <alignment horizontal="left" vertical="center" shrinkToFit="1"/>
    </xf>
    <xf numFmtId="0" fontId="5" fillId="0" borderId="75" xfId="2" applyBorder="1" applyAlignment="1">
      <alignment horizontal="left" vertical="center" shrinkToFit="1"/>
    </xf>
    <xf numFmtId="49" fontId="30" fillId="0" borderId="75" xfId="2" applyNumberFormat="1" applyFont="1" applyBorder="1" applyAlignment="1">
      <alignment horizontal="center" vertical="center"/>
    </xf>
    <xf numFmtId="0" fontId="5" fillId="0" borderId="76" xfId="2" applyBorder="1">
      <alignment vertical="center"/>
    </xf>
    <xf numFmtId="0" fontId="30" fillId="0" borderId="85" xfId="2" applyFont="1" applyBorder="1">
      <alignment vertical="center"/>
    </xf>
    <xf numFmtId="0" fontId="5" fillId="0" borderId="52" xfId="2" applyBorder="1">
      <alignment vertical="center"/>
    </xf>
    <xf numFmtId="0" fontId="32" fillId="0" borderId="52" xfId="2" applyFont="1" applyBorder="1" applyAlignment="1">
      <alignment horizontal="left" vertical="center" shrinkToFit="1"/>
    </xf>
    <xf numFmtId="0" fontId="5" fillId="0" borderId="52" xfId="2" applyBorder="1" applyAlignment="1">
      <alignment horizontal="left" vertical="center" shrinkToFit="1"/>
    </xf>
    <xf numFmtId="49" fontId="30" fillId="0" borderId="52" xfId="2" applyNumberFormat="1" applyFont="1" applyBorder="1" applyAlignment="1">
      <alignment horizontal="center" vertical="center"/>
    </xf>
    <xf numFmtId="0" fontId="5" fillId="0" borderId="86" xfId="2" applyBorder="1">
      <alignment vertical="center"/>
    </xf>
    <xf numFmtId="0" fontId="30" fillId="0" borderId="74" xfId="2" applyFont="1" applyBorder="1">
      <alignment vertical="center"/>
    </xf>
    <xf numFmtId="0" fontId="5" fillId="0" borderId="75" xfId="2" applyBorder="1">
      <alignment vertical="center"/>
    </xf>
    <xf numFmtId="0" fontId="30" fillId="0" borderId="163" xfId="2" applyFont="1" applyBorder="1">
      <alignment vertical="center"/>
    </xf>
    <xf numFmtId="0" fontId="5" fillId="0" borderId="164" xfId="2" applyBorder="1">
      <alignment vertical="center"/>
    </xf>
    <xf numFmtId="0" fontId="32" fillId="0" borderId="164" xfId="2" applyFont="1" applyBorder="1" applyAlignment="1">
      <alignment horizontal="left" vertical="center" shrinkToFit="1"/>
    </xf>
    <xf numFmtId="0" fontId="5" fillId="0" borderId="164" xfId="2" applyBorder="1" applyAlignment="1">
      <alignment horizontal="left" vertical="center" shrinkToFit="1"/>
    </xf>
    <xf numFmtId="49" fontId="30" fillId="0" borderId="164" xfId="2" applyNumberFormat="1" applyFont="1" applyBorder="1" applyAlignment="1">
      <alignment horizontal="center" vertical="center"/>
    </xf>
    <xf numFmtId="0" fontId="5" fillId="0" borderId="165" xfId="2" applyBorder="1">
      <alignment vertical="center"/>
    </xf>
  </cellXfs>
  <cellStyles count="6">
    <cellStyle name="桁区切り" xfId="1" builtinId="6"/>
    <cellStyle name="桁区切り 2" xfId="3" xr:uid="{47B765B9-64A4-466E-9042-C8AFBE7DC165}"/>
    <cellStyle name="標準" xfId="0" builtinId="0"/>
    <cellStyle name="標準 2" xfId="2" xr:uid="{97CA7718-4088-4D4A-B19B-6EE2AD92E504}"/>
    <cellStyle name="標準 2 2" xfId="4" xr:uid="{A342C1E5-5167-455D-ADC7-3466D8D67186}"/>
    <cellStyle name="標準_（省令）第12号の2様式(納付書)手引（図解式）201211126作成（H25）" xfId="5" xr:uid="{4AA639D4-CB16-46A3-8411-B5CEFE9B62C8}"/>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xdr:col>
      <xdr:colOff>209550</xdr:colOff>
      <xdr:row>0</xdr:row>
      <xdr:rowOff>133350</xdr:rowOff>
    </xdr:from>
    <xdr:to>
      <xdr:col>4</xdr:col>
      <xdr:colOff>66675</xdr:colOff>
      <xdr:row>2</xdr:row>
      <xdr:rowOff>209550</xdr:rowOff>
    </xdr:to>
    <xdr:sp macro="" textlink="">
      <xdr:nvSpPr>
        <xdr:cNvPr id="2" name="楕円 1">
          <a:extLst>
            <a:ext uri="{FF2B5EF4-FFF2-40B4-BE49-F238E27FC236}">
              <a16:creationId xmlns:a16="http://schemas.microsoft.com/office/drawing/2014/main" id="{00000000-0008-0000-0000-000002000000}"/>
            </a:ext>
          </a:extLst>
        </xdr:cNvPr>
        <xdr:cNvSpPr/>
      </xdr:nvSpPr>
      <xdr:spPr>
        <a:xfrm>
          <a:off x="558800" y="133350"/>
          <a:ext cx="942975" cy="86360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latin typeface="游明朝" panose="02020400000000000000" pitchFamily="18" charset="-128"/>
              <a:ea typeface="游明朝" panose="02020400000000000000" pitchFamily="18" charset="-128"/>
            </a:rPr>
            <a:t>受付印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52</xdr:col>
      <xdr:colOff>50127</xdr:colOff>
      <xdr:row>1</xdr:row>
      <xdr:rowOff>21068</xdr:rowOff>
    </xdr:from>
    <xdr:to>
      <xdr:col>54</xdr:col>
      <xdr:colOff>56946</xdr:colOff>
      <xdr:row>2</xdr:row>
      <xdr:rowOff>82438</xdr:rowOff>
    </xdr:to>
    <xdr:sp macro="" textlink="">
      <xdr:nvSpPr>
        <xdr:cNvPr id="2" name="円/楕円 2">
          <a:extLst>
            <a:ext uri="{FF2B5EF4-FFF2-40B4-BE49-F238E27FC236}">
              <a16:creationId xmlns:a16="http://schemas.microsoft.com/office/drawing/2014/main" id="{63032F22-B0F8-43B5-9FEF-E0C7316C4C06}"/>
            </a:ext>
          </a:extLst>
        </xdr:cNvPr>
        <xdr:cNvSpPr/>
      </xdr:nvSpPr>
      <xdr:spPr>
        <a:xfrm>
          <a:off x="5003127" y="134177"/>
          <a:ext cx="185413" cy="174480"/>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52</xdr:col>
      <xdr:colOff>43777</xdr:colOff>
      <xdr:row>32</xdr:row>
      <xdr:rowOff>32974</xdr:rowOff>
    </xdr:from>
    <xdr:to>
      <xdr:col>54</xdr:col>
      <xdr:colOff>56946</xdr:colOff>
      <xdr:row>33</xdr:row>
      <xdr:rowOff>97519</xdr:rowOff>
    </xdr:to>
    <xdr:sp macro="" textlink="">
      <xdr:nvSpPr>
        <xdr:cNvPr id="14" name="円/楕円 2">
          <a:extLst>
            <a:ext uri="{FF2B5EF4-FFF2-40B4-BE49-F238E27FC236}">
              <a16:creationId xmlns:a16="http://schemas.microsoft.com/office/drawing/2014/main" id="{EDA6BFBC-60B0-49E0-96AF-5688CF0CFCAF}"/>
            </a:ext>
          </a:extLst>
        </xdr:cNvPr>
        <xdr:cNvSpPr/>
      </xdr:nvSpPr>
      <xdr:spPr>
        <a:xfrm>
          <a:off x="4996777" y="3576274"/>
          <a:ext cx="194144" cy="178845"/>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52</xdr:col>
      <xdr:colOff>46952</xdr:colOff>
      <xdr:row>63</xdr:row>
      <xdr:rowOff>29799</xdr:rowOff>
    </xdr:from>
    <xdr:to>
      <xdr:col>54</xdr:col>
      <xdr:colOff>56946</xdr:colOff>
      <xdr:row>64</xdr:row>
      <xdr:rowOff>97519</xdr:rowOff>
    </xdr:to>
    <xdr:sp macro="" textlink="">
      <xdr:nvSpPr>
        <xdr:cNvPr id="50" name="円/楕円 2">
          <a:extLst>
            <a:ext uri="{FF2B5EF4-FFF2-40B4-BE49-F238E27FC236}">
              <a16:creationId xmlns:a16="http://schemas.microsoft.com/office/drawing/2014/main" id="{B5D321EF-CDD8-4B97-8804-DF615A5E9FED}"/>
            </a:ext>
          </a:extLst>
        </xdr:cNvPr>
        <xdr:cNvSpPr/>
      </xdr:nvSpPr>
      <xdr:spPr>
        <a:xfrm>
          <a:off x="4999952" y="7668849"/>
          <a:ext cx="190969" cy="182020"/>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057769/My%20Documents/&#20013;&#35895;/&#20107;&#26989;&#31246;/35_&#27096;&#24335;&#12395;&#20418;&#12427;&#12371;&#12392;/&#27861;&#20154;&#20108;&#31246;&#32013;&#20184;&#26360;ver1.01&#12497;&#12473;&#12394;&#1237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欄"/>
      <sheetName val="納付書（印刷シート）"/>
    </sheetNames>
    <sheetDataSet>
      <sheetData sheetId="0">
        <row r="3">
          <cell r="P3" t="str">
            <v>空知総合振興局</v>
          </cell>
          <cell r="Q3" t="str">
            <v>050</v>
          </cell>
          <cell r="R3" t="str">
            <v>空知総合振興局</v>
          </cell>
        </row>
        <row r="4">
          <cell r="P4" t="str">
            <v>空知総合振興局　深川道税事務所</v>
          </cell>
          <cell r="Q4" t="str">
            <v>051</v>
          </cell>
          <cell r="R4" t="str">
            <v>空知総合振興局</v>
          </cell>
          <cell r="S4" t="str">
            <v>深川道税事務所</v>
          </cell>
        </row>
        <row r="5">
          <cell r="P5" t="str">
            <v>石狩振興局</v>
          </cell>
          <cell r="Q5" t="str">
            <v>010</v>
          </cell>
          <cell r="R5" t="str">
            <v>石狩振興局</v>
          </cell>
        </row>
        <row r="6">
          <cell r="P6" t="str">
            <v>後志総合振興局</v>
          </cell>
          <cell r="Q6" t="str">
            <v>040</v>
          </cell>
          <cell r="R6" t="str">
            <v>後志総合振興局</v>
          </cell>
        </row>
        <row r="7">
          <cell r="P7" t="str">
            <v>後志総合振興局　小樽道税事務所</v>
          </cell>
          <cell r="Q7" t="str">
            <v>041</v>
          </cell>
          <cell r="R7" t="str">
            <v>後志総合振興局</v>
          </cell>
          <cell r="S7" t="str">
            <v>小樽道税事務所</v>
          </cell>
        </row>
        <row r="8">
          <cell r="P8" t="str">
            <v>胆振総合振興局</v>
          </cell>
          <cell r="Q8" t="str">
            <v>100</v>
          </cell>
          <cell r="R8" t="str">
            <v>胆振総合振興局</v>
          </cell>
        </row>
        <row r="9">
          <cell r="P9" t="str">
            <v>胆振総合振興局　苫小牧道税事務所</v>
          </cell>
          <cell r="Q9" t="str">
            <v>101</v>
          </cell>
          <cell r="R9" t="str">
            <v>胆振総合振興局</v>
          </cell>
          <cell r="S9" t="str">
            <v>苫小牧道税事務所</v>
          </cell>
        </row>
        <row r="10">
          <cell r="P10" t="str">
            <v>日高振興局</v>
          </cell>
          <cell r="Q10" t="str">
            <v>110</v>
          </cell>
          <cell r="R10" t="str">
            <v>日高振興局</v>
          </cell>
        </row>
        <row r="11">
          <cell r="P11" t="str">
            <v>渡島総合振興局</v>
          </cell>
          <cell r="Q11" t="str">
            <v>020</v>
          </cell>
          <cell r="R11" t="str">
            <v>渡島総合振興局</v>
          </cell>
        </row>
        <row r="12">
          <cell r="P12" t="str">
            <v>檜山振興局</v>
          </cell>
          <cell r="Q12" t="str">
            <v>030</v>
          </cell>
          <cell r="R12" t="str">
            <v>檜山振興局</v>
          </cell>
        </row>
        <row r="13">
          <cell r="P13" t="str">
            <v>上川総合振興局</v>
          </cell>
          <cell r="Q13" t="str">
            <v>060</v>
          </cell>
          <cell r="R13" t="str">
            <v>上川総合振興局</v>
          </cell>
        </row>
        <row r="14">
          <cell r="P14" t="str">
            <v>上川総合振興局　名寄道税事務所</v>
          </cell>
          <cell r="Q14" t="str">
            <v>061</v>
          </cell>
          <cell r="R14" t="str">
            <v>上川総合振興局</v>
          </cell>
          <cell r="S14" t="str">
            <v>名寄道税事務所</v>
          </cell>
        </row>
        <row r="15">
          <cell r="P15" t="str">
            <v>留萌振興局</v>
          </cell>
          <cell r="Q15" t="str">
            <v>070</v>
          </cell>
          <cell r="R15" t="str">
            <v>留萌振興局</v>
          </cell>
        </row>
        <row r="16">
          <cell r="P16" t="str">
            <v>宗谷総合振興局</v>
          </cell>
          <cell r="Q16" t="str">
            <v>080</v>
          </cell>
          <cell r="R16" t="str">
            <v>宗谷総合振興局</v>
          </cell>
        </row>
        <row r="17">
          <cell r="P17" t="str">
            <v>オホーツク総合振興局</v>
          </cell>
          <cell r="Q17" t="str">
            <v>090</v>
          </cell>
          <cell r="R17" t="str">
            <v>オホーツク総合振興局</v>
          </cell>
        </row>
        <row r="18">
          <cell r="P18" t="str">
            <v>オホーツク総合振興局　北見道税事務所</v>
          </cell>
          <cell r="Q18" t="str">
            <v>091</v>
          </cell>
          <cell r="R18" t="str">
            <v>オホーツク総合振興局</v>
          </cell>
          <cell r="S18" t="str">
            <v>北見道税事務所</v>
          </cell>
        </row>
        <row r="19">
          <cell r="P19" t="str">
            <v>オホーツク総合振興局　紋別道税事務所</v>
          </cell>
          <cell r="Q19" t="str">
            <v>092</v>
          </cell>
          <cell r="R19" t="str">
            <v>オホーツク総合振興局</v>
          </cell>
          <cell r="S19" t="str">
            <v>紋別道税事務所</v>
          </cell>
        </row>
        <row r="20">
          <cell r="P20" t="str">
            <v>十勝総合振興局</v>
          </cell>
          <cell r="Q20" t="str">
            <v>120</v>
          </cell>
          <cell r="R20" t="str">
            <v>十勝総合振興局</v>
          </cell>
        </row>
        <row r="21">
          <cell r="P21" t="str">
            <v>釧路総合振興局</v>
          </cell>
          <cell r="Q21" t="str">
            <v>130</v>
          </cell>
          <cell r="R21" t="str">
            <v>釧路総合振興局</v>
          </cell>
        </row>
        <row r="22">
          <cell r="P22" t="str">
            <v>根室振興局</v>
          </cell>
          <cell r="Q22" t="str">
            <v>140</v>
          </cell>
          <cell r="R22" t="str">
            <v>根室振興局</v>
          </cell>
        </row>
        <row r="23">
          <cell r="P23" t="str">
            <v>札幌道税事務所</v>
          </cell>
          <cell r="Q23" t="str">
            <v>210</v>
          </cell>
          <cell r="R23" t="str">
            <v>札幌道税事務所</v>
          </cell>
        </row>
      </sheetData>
      <sheetData sheetId="1"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1E37-6B70-472A-B9E2-DFFB20A2FCEA}">
  <sheetPr>
    <tabColor rgb="FFFFFF00"/>
    <pageSetUpPr fitToPage="1"/>
  </sheetPr>
  <dimension ref="A2:K31"/>
  <sheetViews>
    <sheetView tabSelected="1" zoomScaleNormal="100" workbookViewId="0">
      <selection activeCell="D6" sqref="D6:F6"/>
    </sheetView>
  </sheetViews>
  <sheetFormatPr defaultColWidth="9" defaultRowHeight="25" customHeight="1" x14ac:dyDescent="0.55000000000000004"/>
  <cols>
    <col min="1" max="1" width="4.75" style="86" customWidth="1"/>
    <col min="2" max="2" width="15.83203125" style="86" customWidth="1"/>
    <col min="3" max="3" width="18.08203125" style="86" bestFit="1" customWidth="1"/>
    <col min="4" max="4" width="18.58203125" style="86" customWidth="1"/>
    <col min="5" max="5" width="9" style="86"/>
    <col min="6" max="6" width="18.58203125" style="86" customWidth="1"/>
    <col min="7" max="7" width="1.08203125" style="86" customWidth="1"/>
    <col min="8" max="8" width="18.58203125" style="86" customWidth="1"/>
    <col min="9" max="9" width="9" style="86"/>
    <col min="10" max="10" width="18.58203125" style="86" customWidth="1"/>
    <col min="11" max="11" width="9" style="86" hidden="1" customWidth="1"/>
    <col min="12" max="16384" width="9" style="86"/>
  </cols>
  <sheetData>
    <row r="2" spans="1:11" ht="25" customHeight="1" x14ac:dyDescent="0.55000000000000004">
      <c r="B2" s="189" t="s">
        <v>656</v>
      </c>
    </row>
    <row r="3" spans="1:11" ht="62" customHeight="1" x14ac:dyDescent="0.55000000000000004">
      <c r="B3" s="202" t="s">
        <v>676</v>
      </c>
      <c r="C3" s="203"/>
      <c r="D3" s="203"/>
      <c r="E3" s="203"/>
      <c r="F3" s="203"/>
      <c r="G3" s="203"/>
      <c r="H3" s="203"/>
      <c r="I3" s="203"/>
      <c r="J3" s="203"/>
    </row>
    <row r="4" spans="1:11" s="175" customFormat="1" ht="72.5" customHeight="1" x14ac:dyDescent="0.55000000000000004">
      <c r="B4" s="208" t="s">
        <v>677</v>
      </c>
      <c r="C4" s="208"/>
      <c r="D4" s="208"/>
      <c r="E4" s="208"/>
      <c r="F4" s="208"/>
      <c r="G4" s="208"/>
      <c r="H4" s="208"/>
      <c r="I4" s="208"/>
      <c r="J4" s="208"/>
    </row>
    <row r="6" spans="1:11" ht="25" customHeight="1" x14ac:dyDescent="0.55000000000000004">
      <c r="B6" s="191" t="s">
        <v>653</v>
      </c>
      <c r="C6" s="192"/>
      <c r="D6" s="193"/>
      <c r="E6" s="193"/>
      <c r="F6" s="193"/>
      <c r="G6" s="101"/>
    </row>
    <row r="7" spans="1:11" ht="45" customHeight="1" x14ac:dyDescent="0.55000000000000004">
      <c r="B7" s="209" t="s">
        <v>37</v>
      </c>
      <c r="C7" s="87" t="s">
        <v>644</v>
      </c>
      <c r="D7" s="205"/>
      <c r="E7" s="205"/>
      <c r="F7" s="205"/>
      <c r="G7" s="205"/>
      <c r="H7" s="205"/>
      <c r="I7" s="205"/>
      <c r="J7" s="205"/>
    </row>
    <row r="8" spans="1:11" ht="45" customHeight="1" x14ac:dyDescent="0.55000000000000004">
      <c r="B8" s="206"/>
      <c r="C8" s="88" t="s">
        <v>645</v>
      </c>
      <c r="D8" s="205"/>
      <c r="E8" s="205"/>
      <c r="F8" s="205"/>
      <c r="G8" s="205"/>
      <c r="H8" s="205"/>
      <c r="I8" s="205"/>
      <c r="J8" s="205"/>
    </row>
    <row r="9" spans="1:11" ht="29.15" customHeight="1" x14ac:dyDescent="0.55000000000000004">
      <c r="B9" s="191" t="s">
        <v>643</v>
      </c>
      <c r="C9" s="192"/>
      <c r="D9" s="207"/>
      <c r="E9" s="207"/>
      <c r="F9" s="207"/>
      <c r="G9" s="102"/>
      <c r="H9" s="89"/>
      <c r="I9" s="89"/>
      <c r="J9" s="89"/>
      <c r="K9" s="90">
        <f>LEN(D9)</f>
        <v>0</v>
      </c>
    </row>
    <row r="10" spans="1:11" ht="45" customHeight="1" x14ac:dyDescent="0.55000000000000004">
      <c r="B10" s="209" t="s">
        <v>597</v>
      </c>
      <c r="C10" s="87" t="s">
        <v>598</v>
      </c>
      <c r="D10" s="205"/>
      <c r="E10" s="205"/>
      <c r="F10" s="205"/>
      <c r="G10" s="205"/>
      <c r="H10" s="205"/>
      <c r="I10" s="205"/>
      <c r="J10" s="205"/>
    </row>
    <row r="11" spans="1:11" ht="45" customHeight="1" x14ac:dyDescent="0.55000000000000004">
      <c r="B11" s="206"/>
      <c r="C11" s="87" t="s">
        <v>38</v>
      </c>
      <c r="D11" s="205"/>
      <c r="E11" s="205"/>
      <c r="F11" s="205"/>
      <c r="G11" s="205"/>
      <c r="H11" s="205"/>
      <c r="I11" s="205"/>
      <c r="J11" s="205"/>
    </row>
    <row r="12" spans="1:11" ht="50.15" customHeight="1" x14ac:dyDescent="0.55000000000000004">
      <c r="B12" s="191" t="s">
        <v>658</v>
      </c>
      <c r="C12" s="192"/>
      <c r="D12" s="207"/>
      <c r="E12" s="207"/>
      <c r="F12" s="207"/>
      <c r="G12" s="194" t="s">
        <v>657</v>
      </c>
      <c r="H12" s="195"/>
      <c r="I12" s="195"/>
      <c r="J12" s="195"/>
    </row>
    <row r="13" spans="1:11" ht="19.5" customHeight="1" x14ac:dyDescent="0.55000000000000004">
      <c r="A13" s="105"/>
      <c r="B13" s="95"/>
      <c r="C13" s="95"/>
      <c r="D13" s="107"/>
      <c r="E13" s="107"/>
      <c r="F13" s="108"/>
      <c r="G13" s="102"/>
      <c r="H13" s="106"/>
      <c r="I13" s="106"/>
      <c r="J13" s="106"/>
    </row>
    <row r="14" spans="1:11" ht="25" customHeight="1" x14ac:dyDescent="0.55000000000000004">
      <c r="B14" s="200" t="s">
        <v>659</v>
      </c>
      <c r="C14" s="87" t="s">
        <v>630</v>
      </c>
      <c r="D14" s="206" t="s">
        <v>599</v>
      </c>
      <c r="E14" s="206"/>
      <c r="F14" s="206"/>
      <c r="G14" s="98"/>
      <c r="H14" s="204" t="s">
        <v>664</v>
      </c>
      <c r="I14" s="204"/>
      <c r="J14" s="204"/>
      <c r="K14" s="90"/>
    </row>
    <row r="15" spans="1:11" ht="25" customHeight="1" x14ac:dyDescent="0.55000000000000004">
      <c r="B15" s="201"/>
      <c r="C15" s="87" t="s">
        <v>637</v>
      </c>
      <c r="D15" s="91" t="s">
        <v>0</v>
      </c>
      <c r="E15" s="92"/>
      <c r="F15" s="93" t="s">
        <v>52</v>
      </c>
      <c r="G15" s="99"/>
      <c r="H15" s="91" t="s">
        <v>0</v>
      </c>
      <c r="I15" s="92"/>
      <c r="J15" s="93" t="s">
        <v>52</v>
      </c>
      <c r="K15" s="90"/>
    </row>
    <row r="16" spans="1:11" ht="25" customHeight="1" x14ac:dyDescent="0.55000000000000004">
      <c r="B16" s="201"/>
      <c r="C16" s="87" t="s">
        <v>39</v>
      </c>
      <c r="D16" s="94"/>
      <c r="E16" s="95" t="s">
        <v>40</v>
      </c>
      <c r="F16" s="96"/>
      <c r="G16" s="103"/>
      <c r="H16" s="94"/>
      <c r="I16" s="95" t="s">
        <v>40</v>
      </c>
      <c r="J16" s="96"/>
      <c r="K16" s="97" t="s">
        <v>638</v>
      </c>
    </row>
    <row r="17" spans="2:11" ht="25" customHeight="1" x14ac:dyDescent="0.55000000000000004">
      <c r="B17" s="201"/>
      <c r="C17" s="168" t="s">
        <v>666</v>
      </c>
      <c r="D17" s="169" t="s">
        <v>669</v>
      </c>
      <c r="E17" s="170"/>
      <c r="F17" s="171" t="s">
        <v>667</v>
      </c>
      <c r="G17" s="103"/>
      <c r="H17" s="172"/>
      <c r="I17" s="173"/>
      <c r="J17" s="174"/>
      <c r="K17" s="97"/>
    </row>
    <row r="18" spans="2:11" ht="25" customHeight="1" x14ac:dyDescent="0.55000000000000004">
      <c r="B18" s="201"/>
      <c r="C18" s="201" t="s">
        <v>631</v>
      </c>
      <c r="D18" s="87" t="s">
        <v>41</v>
      </c>
      <c r="E18" s="199">
        <f>申告書!R28</f>
        <v>0</v>
      </c>
      <c r="F18" s="199"/>
      <c r="G18" s="100"/>
      <c r="H18" s="87" t="s">
        <v>41</v>
      </c>
      <c r="I18" s="198"/>
      <c r="J18" s="198"/>
      <c r="K18" s="90">
        <f>LEN(E18)</f>
        <v>1</v>
      </c>
    </row>
    <row r="19" spans="2:11" ht="25" customHeight="1" x14ac:dyDescent="0.55000000000000004">
      <c r="B19" s="201"/>
      <c r="C19" s="201"/>
      <c r="D19" s="87" t="s">
        <v>43</v>
      </c>
      <c r="E19" s="198"/>
      <c r="F19" s="198"/>
      <c r="G19" s="104"/>
      <c r="H19" s="87" t="s">
        <v>43</v>
      </c>
      <c r="I19" s="198"/>
      <c r="J19" s="198"/>
      <c r="K19" s="90">
        <f t="shared" ref="K19:K23" si="0">LEN(E19)</f>
        <v>0</v>
      </c>
    </row>
    <row r="20" spans="2:11" ht="25" customHeight="1" x14ac:dyDescent="0.55000000000000004">
      <c r="B20" s="201"/>
      <c r="C20" s="201"/>
      <c r="D20" s="87" t="s">
        <v>44</v>
      </c>
      <c r="E20" s="198"/>
      <c r="F20" s="198"/>
      <c r="G20" s="104"/>
      <c r="H20" s="87" t="s">
        <v>44</v>
      </c>
      <c r="I20" s="198"/>
      <c r="J20" s="198"/>
      <c r="K20" s="90">
        <f t="shared" si="0"/>
        <v>0</v>
      </c>
    </row>
    <row r="21" spans="2:11" ht="25" customHeight="1" x14ac:dyDescent="0.55000000000000004">
      <c r="B21" s="201"/>
      <c r="C21" s="201"/>
      <c r="D21" s="87" t="s">
        <v>45</v>
      </c>
      <c r="E21" s="198"/>
      <c r="F21" s="198"/>
      <c r="G21" s="104"/>
      <c r="H21" s="87" t="s">
        <v>45</v>
      </c>
      <c r="I21" s="198"/>
      <c r="J21" s="198"/>
      <c r="K21" s="90">
        <f t="shared" si="0"/>
        <v>0</v>
      </c>
    </row>
    <row r="22" spans="2:11" ht="25" customHeight="1" x14ac:dyDescent="0.55000000000000004">
      <c r="B22" s="201"/>
      <c r="C22" s="201"/>
      <c r="D22" s="87" t="s">
        <v>46</v>
      </c>
      <c r="E22" s="198"/>
      <c r="F22" s="198"/>
      <c r="G22" s="104"/>
      <c r="H22" s="87" t="s">
        <v>46</v>
      </c>
      <c r="I22" s="198"/>
      <c r="J22" s="198"/>
      <c r="K22" s="90">
        <f t="shared" si="0"/>
        <v>0</v>
      </c>
    </row>
    <row r="23" spans="2:11" ht="25" customHeight="1" x14ac:dyDescent="0.55000000000000004">
      <c r="B23" s="201"/>
      <c r="C23" s="201"/>
      <c r="D23" s="87" t="s">
        <v>47</v>
      </c>
      <c r="E23" s="199">
        <f>SUM(E18:F22)</f>
        <v>0</v>
      </c>
      <c r="F23" s="199"/>
      <c r="G23" s="100"/>
      <c r="H23" s="87" t="s">
        <v>47</v>
      </c>
      <c r="I23" s="199">
        <f>SUM(I18:J22)</f>
        <v>0</v>
      </c>
      <c r="J23" s="199"/>
      <c r="K23" s="90">
        <f t="shared" si="0"/>
        <v>1</v>
      </c>
    </row>
    <row r="24" spans="2:11" ht="25" customHeight="1" x14ac:dyDescent="0.55000000000000004">
      <c r="B24" s="191" t="s">
        <v>654</v>
      </c>
      <c r="C24" s="192"/>
      <c r="D24" s="193"/>
      <c r="E24" s="193"/>
      <c r="F24" s="193"/>
      <c r="G24" s="196" t="s">
        <v>668</v>
      </c>
      <c r="H24" s="197"/>
      <c r="I24" s="197"/>
      <c r="J24" s="197"/>
    </row>
    <row r="25" spans="2:11" ht="81.75" customHeight="1" x14ac:dyDescent="0.55000000000000004">
      <c r="B25" s="190" t="s">
        <v>671</v>
      </c>
      <c r="C25" s="190"/>
      <c r="D25" s="190"/>
      <c r="E25" s="190"/>
      <c r="F25" s="190"/>
      <c r="G25" s="190"/>
      <c r="H25" s="190"/>
      <c r="K25" s="90"/>
    </row>
    <row r="26" spans="2:11" ht="25" customHeight="1" x14ac:dyDescent="0.55000000000000004">
      <c r="K26" s="90"/>
    </row>
    <row r="27" spans="2:11" ht="25" customHeight="1" x14ac:dyDescent="0.55000000000000004">
      <c r="K27" s="90"/>
    </row>
    <row r="28" spans="2:11" ht="25" customHeight="1" x14ac:dyDescent="0.55000000000000004">
      <c r="K28" s="90"/>
    </row>
    <row r="29" spans="2:11" ht="25" customHeight="1" x14ac:dyDescent="0.55000000000000004">
      <c r="K29" s="90"/>
    </row>
    <row r="30" spans="2:11" ht="25" customHeight="1" x14ac:dyDescent="0.55000000000000004">
      <c r="K30" s="90"/>
    </row>
    <row r="31" spans="2:11" ht="25" customHeight="1" x14ac:dyDescent="0.55000000000000004">
      <c r="K31" s="90"/>
    </row>
  </sheetData>
  <sheetProtection algorithmName="SHA-512" hashValue="7wWts58bI3VL4MCQ5dNexgd6WK7ploL1PzrCIThiK0MMffMpU28alsNyaiVW4YWS5eHd2tpM7S/NSMWY0VdBEQ==" saltValue="hEBd+Sy04TWOtws8yk55eA==" spinCount="100000" sheet="1" selectLockedCells="1"/>
  <mergeCells count="35">
    <mergeCell ref="B10:B11"/>
    <mergeCell ref="B7:B8"/>
    <mergeCell ref="B9:C9"/>
    <mergeCell ref="E21:F21"/>
    <mergeCell ref="E22:F22"/>
    <mergeCell ref="E23:F23"/>
    <mergeCell ref="B3:J3"/>
    <mergeCell ref="B6:C6"/>
    <mergeCell ref="D6:F6"/>
    <mergeCell ref="H14:J14"/>
    <mergeCell ref="D8:J8"/>
    <mergeCell ref="D7:J7"/>
    <mergeCell ref="D10:J10"/>
    <mergeCell ref="D11:J11"/>
    <mergeCell ref="D14:F14"/>
    <mergeCell ref="D12:F12"/>
    <mergeCell ref="D9:F9"/>
    <mergeCell ref="B12:C12"/>
    <mergeCell ref="B4:J4"/>
    <mergeCell ref="B25:H25"/>
    <mergeCell ref="B24:C24"/>
    <mergeCell ref="D24:F24"/>
    <mergeCell ref="G12:J12"/>
    <mergeCell ref="G24:J24"/>
    <mergeCell ref="I18:J18"/>
    <mergeCell ref="I19:J19"/>
    <mergeCell ref="I20:J20"/>
    <mergeCell ref="I21:J21"/>
    <mergeCell ref="I22:J22"/>
    <mergeCell ref="I23:J23"/>
    <mergeCell ref="E18:F18"/>
    <mergeCell ref="E19:F19"/>
    <mergeCell ref="B14:B23"/>
    <mergeCell ref="C18:C23"/>
    <mergeCell ref="E20:F20"/>
  </mergeCells>
  <phoneticPr fontId="6"/>
  <dataValidations count="2">
    <dataValidation type="textLength" allowBlank="1" showInputMessage="1" showErrorMessage="1" errorTitle="文字数オーバー" error="制限文字数を超えています。_x000a_入力内容を確認してください。" sqref="D9:G9" xr:uid="{6C1BC8DE-E069-4235-9F25-A32919F1C952}">
      <formula1>0</formula1>
      <formula2>13</formula2>
    </dataValidation>
    <dataValidation type="textLength" allowBlank="1" showInputMessage="1" showErrorMessage="1" errorTitle="文字数オーバー" error="制限文字数を超えています。_x000a_入力内容を確認してください。" sqref="D12:F13 G13" xr:uid="{FB15D1AE-59A9-4A3E-98B5-5A718E39A7DF}">
      <formula1>0</formula1>
      <formula2>12</formula2>
    </dataValidation>
  </dataValidations>
  <pageMargins left="0.7" right="0.7" top="0.75" bottom="0.75" header="0.3" footer="0.3"/>
  <pageSetup paperSize="9" scale="6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51CD-579D-411E-844E-DF2A2E540AEB}">
  <sheetPr>
    <tabColor rgb="FF00B0F0"/>
  </sheetPr>
  <dimension ref="B1:H41"/>
  <sheetViews>
    <sheetView showGridLines="0" zoomScaleNormal="100" workbookViewId="0">
      <selection activeCell="C8" sqref="C8"/>
    </sheetView>
  </sheetViews>
  <sheetFormatPr defaultColWidth="8.58203125" defaultRowHeight="17.5" x14ac:dyDescent="0.55000000000000004"/>
  <cols>
    <col min="1" max="1" width="2.08203125" style="109" customWidth="1"/>
    <col min="2" max="2" width="10.33203125" style="109" bestFit="1" customWidth="1"/>
    <col min="3" max="6" width="17.08203125" style="109" customWidth="1"/>
    <col min="7" max="8" width="8.58203125" style="109" customWidth="1"/>
    <col min="9" max="9" width="1.33203125" style="109" customWidth="1"/>
    <col min="10" max="16384" width="8.58203125" style="109"/>
  </cols>
  <sheetData>
    <row r="1" spans="2:8" ht="10.5" customHeight="1" x14ac:dyDescent="0.55000000000000004"/>
    <row r="2" spans="2:8" ht="44.5" customHeight="1" x14ac:dyDescent="0.55000000000000004">
      <c r="B2" s="210" t="s">
        <v>675</v>
      </c>
      <c r="C2" s="211"/>
      <c r="D2" s="212" t="str">
        <f>IF(入力表!D12="","",入力表!D12)</f>
        <v/>
      </c>
      <c r="E2" s="213"/>
      <c r="F2" s="213"/>
      <c r="G2" s="213"/>
      <c r="H2" s="214"/>
    </row>
    <row r="3" spans="2:8" ht="38.5" customHeight="1" x14ac:dyDescent="0.55000000000000004">
      <c r="B3" s="215" t="s">
        <v>31</v>
      </c>
      <c r="C3" s="216"/>
      <c r="D3" s="217" t="str">
        <f>IF(入力表!D11="","",入力表!D11)</f>
        <v/>
      </c>
      <c r="E3" s="218"/>
      <c r="F3" s="218"/>
      <c r="G3" s="218"/>
      <c r="H3" s="219"/>
    </row>
    <row r="4" spans="2:8" ht="9.65" customHeight="1" x14ac:dyDescent="0.55000000000000004"/>
    <row r="5" spans="2:8" ht="35.5" customHeight="1" thickBot="1" x14ac:dyDescent="0.6">
      <c r="B5" s="110" t="s">
        <v>0</v>
      </c>
      <c r="C5" s="111" t="str">
        <f>IF(入力表!D16="","",入力表!D16)</f>
        <v/>
      </c>
      <c r="D5" s="112" t="str">
        <f>IF(入力表!D16="","",入力表!D16)</f>
        <v/>
      </c>
    </row>
    <row r="6" spans="2:8" ht="19" customHeight="1" x14ac:dyDescent="0.55000000000000004">
      <c r="B6" s="220" t="s">
        <v>32</v>
      </c>
      <c r="C6" s="222" t="s">
        <v>660</v>
      </c>
      <c r="D6" s="223"/>
      <c r="E6" s="223"/>
      <c r="F6" s="223"/>
      <c r="G6" s="223"/>
      <c r="H6" s="224"/>
    </row>
    <row r="7" spans="2:8" ht="35.15" customHeight="1" thickBot="1" x14ac:dyDescent="0.6">
      <c r="B7" s="221"/>
      <c r="C7" s="113" t="s">
        <v>662</v>
      </c>
      <c r="D7" s="114" t="s">
        <v>33</v>
      </c>
      <c r="E7" s="114" t="s">
        <v>663</v>
      </c>
      <c r="F7" s="115" t="s">
        <v>6</v>
      </c>
      <c r="G7" s="225" t="s">
        <v>34</v>
      </c>
      <c r="H7" s="226"/>
    </row>
    <row r="8" spans="2:8" ht="18.649999999999999" customHeight="1" x14ac:dyDescent="0.55000000000000004">
      <c r="B8" s="116">
        <v>1</v>
      </c>
      <c r="C8" s="131"/>
      <c r="D8" s="132"/>
      <c r="E8" s="132"/>
      <c r="F8" s="133"/>
      <c r="G8" s="229" t="str">
        <f>IF(COUNT(C8,D8,E8,F8)=0,"",SUM(C8,D8,E8,F8))</f>
        <v/>
      </c>
      <c r="H8" s="230"/>
    </row>
    <row r="9" spans="2:8" ht="18.649999999999999" customHeight="1" x14ac:dyDescent="0.55000000000000004">
      <c r="B9" s="117">
        <v>2</v>
      </c>
      <c r="C9" s="131"/>
      <c r="D9" s="132"/>
      <c r="E9" s="132"/>
      <c r="F9" s="133"/>
      <c r="G9" s="227" t="str">
        <f t="shared" ref="G9:G39" si="0">IF(COUNT(C9,D9,E9,F9)=0,"",SUM(C9,D9,E9,F9))</f>
        <v/>
      </c>
      <c r="H9" s="228"/>
    </row>
    <row r="10" spans="2:8" ht="18.649999999999999" customHeight="1" x14ac:dyDescent="0.55000000000000004">
      <c r="B10" s="117">
        <v>3</v>
      </c>
      <c r="C10" s="131"/>
      <c r="D10" s="132"/>
      <c r="E10" s="132"/>
      <c r="F10" s="133"/>
      <c r="G10" s="227" t="str">
        <f t="shared" si="0"/>
        <v/>
      </c>
      <c r="H10" s="228"/>
    </row>
    <row r="11" spans="2:8" ht="18.649999999999999" customHeight="1" x14ac:dyDescent="0.55000000000000004">
      <c r="B11" s="117">
        <v>4</v>
      </c>
      <c r="C11" s="131"/>
      <c r="D11" s="132"/>
      <c r="E11" s="132"/>
      <c r="F11" s="133"/>
      <c r="G11" s="227" t="str">
        <f t="shared" si="0"/>
        <v/>
      </c>
      <c r="H11" s="228"/>
    </row>
    <row r="12" spans="2:8" ht="18.649999999999999" customHeight="1" x14ac:dyDescent="0.55000000000000004">
      <c r="B12" s="117">
        <v>5</v>
      </c>
      <c r="C12" s="131"/>
      <c r="D12" s="132"/>
      <c r="E12" s="132"/>
      <c r="F12" s="133"/>
      <c r="G12" s="227" t="str">
        <f t="shared" si="0"/>
        <v/>
      </c>
      <c r="H12" s="228"/>
    </row>
    <row r="13" spans="2:8" ht="18.649999999999999" customHeight="1" x14ac:dyDescent="0.55000000000000004">
      <c r="B13" s="117">
        <v>6</v>
      </c>
      <c r="C13" s="131"/>
      <c r="D13" s="132"/>
      <c r="E13" s="132"/>
      <c r="F13" s="133"/>
      <c r="G13" s="227" t="str">
        <f t="shared" si="0"/>
        <v/>
      </c>
      <c r="H13" s="228"/>
    </row>
    <row r="14" spans="2:8" ht="18.649999999999999" customHeight="1" x14ac:dyDescent="0.55000000000000004">
      <c r="B14" s="117">
        <v>7</v>
      </c>
      <c r="C14" s="131"/>
      <c r="D14" s="132"/>
      <c r="E14" s="132"/>
      <c r="F14" s="133"/>
      <c r="G14" s="227" t="str">
        <f t="shared" si="0"/>
        <v/>
      </c>
      <c r="H14" s="228"/>
    </row>
    <row r="15" spans="2:8" ht="18.649999999999999" customHeight="1" x14ac:dyDescent="0.55000000000000004">
      <c r="B15" s="117">
        <v>8</v>
      </c>
      <c r="C15" s="131"/>
      <c r="D15" s="132"/>
      <c r="E15" s="132"/>
      <c r="F15" s="133"/>
      <c r="G15" s="227" t="str">
        <f t="shared" si="0"/>
        <v/>
      </c>
      <c r="H15" s="228"/>
    </row>
    <row r="16" spans="2:8" ht="18.649999999999999" customHeight="1" x14ac:dyDescent="0.55000000000000004">
      <c r="B16" s="117">
        <v>9</v>
      </c>
      <c r="C16" s="131"/>
      <c r="D16" s="132"/>
      <c r="E16" s="132"/>
      <c r="F16" s="133"/>
      <c r="G16" s="227" t="str">
        <f t="shared" si="0"/>
        <v/>
      </c>
      <c r="H16" s="228"/>
    </row>
    <row r="17" spans="2:8" ht="18.649999999999999" customHeight="1" x14ac:dyDescent="0.55000000000000004">
      <c r="B17" s="117">
        <v>10</v>
      </c>
      <c r="C17" s="131"/>
      <c r="D17" s="132"/>
      <c r="E17" s="132"/>
      <c r="F17" s="133"/>
      <c r="G17" s="227" t="str">
        <f t="shared" si="0"/>
        <v/>
      </c>
      <c r="H17" s="228"/>
    </row>
    <row r="18" spans="2:8" ht="18.649999999999999" customHeight="1" x14ac:dyDescent="0.55000000000000004">
      <c r="B18" s="117">
        <v>11</v>
      </c>
      <c r="C18" s="131"/>
      <c r="D18" s="132"/>
      <c r="E18" s="132"/>
      <c r="F18" s="133"/>
      <c r="G18" s="227" t="str">
        <f t="shared" si="0"/>
        <v/>
      </c>
      <c r="H18" s="228"/>
    </row>
    <row r="19" spans="2:8" ht="18.649999999999999" customHeight="1" x14ac:dyDescent="0.55000000000000004">
      <c r="B19" s="117">
        <v>12</v>
      </c>
      <c r="C19" s="131"/>
      <c r="D19" s="132"/>
      <c r="E19" s="132"/>
      <c r="F19" s="133"/>
      <c r="G19" s="227" t="str">
        <f t="shared" si="0"/>
        <v/>
      </c>
      <c r="H19" s="228"/>
    </row>
    <row r="20" spans="2:8" ht="18.649999999999999" customHeight="1" x14ac:dyDescent="0.55000000000000004">
      <c r="B20" s="117">
        <v>13</v>
      </c>
      <c r="C20" s="131"/>
      <c r="D20" s="132"/>
      <c r="E20" s="132"/>
      <c r="F20" s="133"/>
      <c r="G20" s="227" t="str">
        <f t="shared" si="0"/>
        <v/>
      </c>
      <c r="H20" s="228"/>
    </row>
    <row r="21" spans="2:8" ht="18.649999999999999" customHeight="1" x14ac:dyDescent="0.55000000000000004">
      <c r="B21" s="117">
        <v>14</v>
      </c>
      <c r="C21" s="131"/>
      <c r="D21" s="132"/>
      <c r="E21" s="132"/>
      <c r="F21" s="133"/>
      <c r="G21" s="227" t="str">
        <f t="shared" si="0"/>
        <v/>
      </c>
      <c r="H21" s="228"/>
    </row>
    <row r="22" spans="2:8" ht="18.649999999999999" customHeight="1" x14ac:dyDescent="0.55000000000000004">
      <c r="B22" s="117">
        <v>15</v>
      </c>
      <c r="C22" s="131"/>
      <c r="D22" s="132"/>
      <c r="E22" s="132"/>
      <c r="F22" s="133"/>
      <c r="G22" s="227" t="str">
        <f t="shared" si="0"/>
        <v/>
      </c>
      <c r="H22" s="228"/>
    </row>
    <row r="23" spans="2:8" ht="18.649999999999999" customHeight="1" x14ac:dyDescent="0.55000000000000004">
      <c r="B23" s="117">
        <v>16</v>
      </c>
      <c r="C23" s="131"/>
      <c r="D23" s="132"/>
      <c r="E23" s="132"/>
      <c r="F23" s="133"/>
      <c r="G23" s="227" t="str">
        <f t="shared" si="0"/>
        <v/>
      </c>
      <c r="H23" s="228"/>
    </row>
    <row r="24" spans="2:8" ht="18.649999999999999" customHeight="1" x14ac:dyDescent="0.55000000000000004">
      <c r="B24" s="117">
        <v>17</v>
      </c>
      <c r="C24" s="131"/>
      <c r="D24" s="132"/>
      <c r="E24" s="132"/>
      <c r="F24" s="133"/>
      <c r="G24" s="227" t="str">
        <f t="shared" si="0"/>
        <v/>
      </c>
      <c r="H24" s="228"/>
    </row>
    <row r="25" spans="2:8" ht="18.649999999999999" customHeight="1" x14ac:dyDescent="0.55000000000000004">
      <c r="B25" s="117">
        <v>18</v>
      </c>
      <c r="C25" s="131"/>
      <c r="D25" s="132"/>
      <c r="E25" s="132"/>
      <c r="F25" s="133"/>
      <c r="G25" s="227" t="str">
        <f t="shared" si="0"/>
        <v/>
      </c>
      <c r="H25" s="228"/>
    </row>
    <row r="26" spans="2:8" ht="18.649999999999999" customHeight="1" x14ac:dyDescent="0.55000000000000004">
      <c r="B26" s="117">
        <v>19</v>
      </c>
      <c r="C26" s="131"/>
      <c r="D26" s="132"/>
      <c r="E26" s="132"/>
      <c r="F26" s="133"/>
      <c r="G26" s="227" t="str">
        <f t="shared" si="0"/>
        <v/>
      </c>
      <c r="H26" s="228"/>
    </row>
    <row r="27" spans="2:8" ht="18.649999999999999" customHeight="1" x14ac:dyDescent="0.55000000000000004">
      <c r="B27" s="117">
        <v>20</v>
      </c>
      <c r="C27" s="131"/>
      <c r="D27" s="132"/>
      <c r="E27" s="132"/>
      <c r="F27" s="133"/>
      <c r="G27" s="227" t="str">
        <f t="shared" si="0"/>
        <v/>
      </c>
      <c r="H27" s="228"/>
    </row>
    <row r="28" spans="2:8" ht="18.649999999999999" customHeight="1" x14ac:dyDescent="0.55000000000000004">
      <c r="B28" s="117">
        <v>21</v>
      </c>
      <c r="C28" s="131"/>
      <c r="D28" s="132"/>
      <c r="E28" s="132"/>
      <c r="F28" s="133"/>
      <c r="G28" s="227" t="str">
        <f t="shared" si="0"/>
        <v/>
      </c>
      <c r="H28" s="228"/>
    </row>
    <row r="29" spans="2:8" ht="18.649999999999999" customHeight="1" x14ac:dyDescent="0.55000000000000004">
      <c r="B29" s="117">
        <v>22</v>
      </c>
      <c r="C29" s="131"/>
      <c r="D29" s="132"/>
      <c r="E29" s="132"/>
      <c r="F29" s="133"/>
      <c r="G29" s="227" t="str">
        <f t="shared" si="0"/>
        <v/>
      </c>
      <c r="H29" s="228"/>
    </row>
    <row r="30" spans="2:8" ht="18.649999999999999" customHeight="1" x14ac:dyDescent="0.55000000000000004">
      <c r="B30" s="117">
        <v>23</v>
      </c>
      <c r="C30" s="131"/>
      <c r="D30" s="132"/>
      <c r="E30" s="132"/>
      <c r="F30" s="133"/>
      <c r="G30" s="227" t="str">
        <f t="shared" si="0"/>
        <v/>
      </c>
      <c r="H30" s="228"/>
    </row>
    <row r="31" spans="2:8" ht="18.649999999999999" customHeight="1" x14ac:dyDescent="0.55000000000000004">
      <c r="B31" s="117">
        <v>24</v>
      </c>
      <c r="C31" s="131"/>
      <c r="D31" s="132"/>
      <c r="E31" s="132"/>
      <c r="F31" s="133"/>
      <c r="G31" s="227" t="str">
        <f t="shared" si="0"/>
        <v/>
      </c>
      <c r="H31" s="228"/>
    </row>
    <row r="32" spans="2:8" ht="18.649999999999999" customHeight="1" x14ac:dyDescent="0.55000000000000004">
      <c r="B32" s="117">
        <v>25</v>
      </c>
      <c r="C32" s="131"/>
      <c r="D32" s="132"/>
      <c r="E32" s="132"/>
      <c r="F32" s="133"/>
      <c r="G32" s="227" t="str">
        <f t="shared" si="0"/>
        <v/>
      </c>
      <c r="H32" s="228"/>
    </row>
    <row r="33" spans="2:8" ht="18.649999999999999" customHeight="1" x14ac:dyDescent="0.55000000000000004">
      <c r="B33" s="117">
        <v>26</v>
      </c>
      <c r="C33" s="131"/>
      <c r="D33" s="132"/>
      <c r="E33" s="132"/>
      <c r="F33" s="133"/>
      <c r="G33" s="227" t="str">
        <f t="shared" si="0"/>
        <v/>
      </c>
      <c r="H33" s="228"/>
    </row>
    <row r="34" spans="2:8" ht="18.649999999999999" customHeight="1" x14ac:dyDescent="0.55000000000000004">
      <c r="B34" s="117">
        <v>27</v>
      </c>
      <c r="C34" s="131"/>
      <c r="D34" s="132"/>
      <c r="E34" s="132"/>
      <c r="F34" s="133"/>
      <c r="G34" s="227" t="str">
        <f t="shared" si="0"/>
        <v/>
      </c>
      <c r="H34" s="228"/>
    </row>
    <row r="35" spans="2:8" ht="18.649999999999999" customHeight="1" x14ac:dyDescent="0.55000000000000004">
      <c r="B35" s="117">
        <v>28</v>
      </c>
      <c r="C35" s="131"/>
      <c r="D35" s="132"/>
      <c r="E35" s="132"/>
      <c r="F35" s="133"/>
      <c r="G35" s="227" t="str">
        <f t="shared" si="0"/>
        <v/>
      </c>
      <c r="H35" s="228"/>
    </row>
    <row r="36" spans="2:8" ht="18.649999999999999" customHeight="1" x14ac:dyDescent="0.55000000000000004">
      <c r="B36" s="117">
        <v>29</v>
      </c>
      <c r="C36" s="131"/>
      <c r="D36" s="132"/>
      <c r="E36" s="132"/>
      <c r="F36" s="133"/>
      <c r="G36" s="227" t="str">
        <f t="shared" si="0"/>
        <v/>
      </c>
      <c r="H36" s="228"/>
    </row>
    <row r="37" spans="2:8" ht="18.649999999999999" customHeight="1" x14ac:dyDescent="0.55000000000000004">
      <c r="B37" s="117">
        <v>30</v>
      </c>
      <c r="C37" s="131"/>
      <c r="D37" s="132"/>
      <c r="E37" s="132"/>
      <c r="F37" s="133"/>
      <c r="G37" s="227" t="str">
        <f t="shared" si="0"/>
        <v/>
      </c>
      <c r="H37" s="228"/>
    </row>
    <row r="38" spans="2:8" ht="18.649999999999999" customHeight="1" thickBot="1" x14ac:dyDescent="0.6">
      <c r="B38" s="117">
        <v>31</v>
      </c>
      <c r="C38" s="131"/>
      <c r="D38" s="132"/>
      <c r="E38" s="132"/>
      <c r="F38" s="133"/>
      <c r="G38" s="231" t="str">
        <f t="shared" si="0"/>
        <v/>
      </c>
      <c r="H38" s="232"/>
    </row>
    <row r="39" spans="2:8" ht="18.649999999999999" customHeight="1" thickBot="1" x14ac:dyDescent="0.6">
      <c r="B39" s="118" t="s">
        <v>661</v>
      </c>
      <c r="C39" s="119">
        <f>IF(C7&lt;&gt;"",SUM(C8:C38),"")</f>
        <v>0</v>
      </c>
      <c r="D39" s="120">
        <f t="shared" ref="D39:E39" si="1">IF(D7&lt;&gt;"",SUM(D8:D38),"")</f>
        <v>0</v>
      </c>
      <c r="E39" s="120">
        <f t="shared" si="1"/>
        <v>0</v>
      </c>
      <c r="F39" s="121" t="str">
        <f>IF(AND(C5&lt;&gt;"",D5&lt;&gt;""),SUM(F8:F38),"")</f>
        <v/>
      </c>
      <c r="G39" s="231">
        <f t="shared" si="0"/>
        <v>0</v>
      </c>
      <c r="H39" s="232"/>
    </row>
    <row r="40" spans="2:8" ht="18.649999999999999" customHeight="1" thickBot="1" x14ac:dyDescent="0.6">
      <c r="B40" s="122" t="s">
        <v>35</v>
      </c>
      <c r="C40" s="123">
        <v>100</v>
      </c>
      <c r="D40" s="124">
        <v>200</v>
      </c>
      <c r="E40" s="124">
        <v>500</v>
      </c>
      <c r="F40" s="125"/>
      <c r="G40" s="233"/>
      <c r="H40" s="234"/>
    </row>
    <row r="41" spans="2:8" ht="18.649999999999999" customHeight="1" thickBot="1" x14ac:dyDescent="0.6">
      <c r="B41" s="126" t="s">
        <v>36</v>
      </c>
      <c r="C41" s="127">
        <f>IFERROR(C39*C40,"")</f>
        <v>0</v>
      </c>
      <c r="D41" s="128">
        <f t="shared" ref="D41:E41" si="2">IFERROR(D39*D40,"")</f>
        <v>0</v>
      </c>
      <c r="E41" s="128">
        <f t="shared" si="2"/>
        <v>0</v>
      </c>
      <c r="F41" s="129"/>
      <c r="G41" s="235">
        <f>IF(COUNT(C41,D41,E41)=0,"",SUM(C41,D41,E41))</f>
        <v>0</v>
      </c>
      <c r="H41" s="236"/>
    </row>
  </sheetData>
  <sheetProtection algorithmName="SHA-512" hashValue="wQHVbJtb8eAOhcnaF9L5uZQ3ICUzPxXZr8RoxPM3f9iFizU5kqNcC2F8gS7hh44iLXGzLKy491Q7tf7zJugyvQ==" saltValue="qkegoKf8DviRtI15B+TKRg==" spinCount="100000" sheet="1" formatCells="0" selectLockedCells="1"/>
  <mergeCells count="41">
    <mergeCell ref="G38:H38"/>
    <mergeCell ref="G39:H39"/>
    <mergeCell ref="G40:H40"/>
    <mergeCell ref="G41:H41"/>
    <mergeCell ref="G32:H32"/>
    <mergeCell ref="G33:H33"/>
    <mergeCell ref="G34:H34"/>
    <mergeCell ref="G35:H35"/>
    <mergeCell ref="G36:H36"/>
    <mergeCell ref="G37:H37"/>
    <mergeCell ref="G31:H31"/>
    <mergeCell ref="G20:H20"/>
    <mergeCell ref="G21:H21"/>
    <mergeCell ref="G22:H22"/>
    <mergeCell ref="G23:H23"/>
    <mergeCell ref="G24:H24"/>
    <mergeCell ref="G25:H25"/>
    <mergeCell ref="G26:H26"/>
    <mergeCell ref="G27:H27"/>
    <mergeCell ref="G28:H28"/>
    <mergeCell ref="G29:H29"/>
    <mergeCell ref="G30:H30"/>
    <mergeCell ref="G19:H19"/>
    <mergeCell ref="G8:H8"/>
    <mergeCell ref="G9:H9"/>
    <mergeCell ref="G10:H10"/>
    <mergeCell ref="G11:H11"/>
    <mergeCell ref="G12:H12"/>
    <mergeCell ref="G13:H13"/>
    <mergeCell ref="G14:H14"/>
    <mergeCell ref="G15:H15"/>
    <mergeCell ref="G16:H16"/>
    <mergeCell ref="G17:H17"/>
    <mergeCell ref="G18:H18"/>
    <mergeCell ref="B2:C2"/>
    <mergeCell ref="D2:H2"/>
    <mergeCell ref="B3:C3"/>
    <mergeCell ref="D3:H3"/>
    <mergeCell ref="B6:B7"/>
    <mergeCell ref="C6:H6"/>
    <mergeCell ref="G7:H7"/>
  </mergeCells>
  <phoneticPr fontId="1"/>
  <printOptions horizontalCentered="1" verticalCentered="1"/>
  <pageMargins left="0.70866141732283472" right="0.70866141732283472" top="0.74803149606299213" bottom="0.74803149606299213" header="0.31496062992125984" footer="0.31496062992125984"/>
  <pageSetup paperSize="9" scale="83"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4CC8-30A7-4D9E-86E4-D0DB432A4054}">
  <sheetPr>
    <tabColor rgb="FF00B0F0"/>
  </sheetPr>
  <dimension ref="B1:H41"/>
  <sheetViews>
    <sheetView showGridLines="0" zoomScaleNormal="100" workbookViewId="0">
      <selection activeCell="C8" sqref="C8"/>
    </sheetView>
  </sheetViews>
  <sheetFormatPr defaultColWidth="8.58203125" defaultRowHeight="17.5" x14ac:dyDescent="0.55000000000000004"/>
  <cols>
    <col min="1" max="1" width="2.08203125" style="109" customWidth="1"/>
    <col min="2" max="2" width="10.33203125" style="109" bestFit="1" customWidth="1"/>
    <col min="3" max="6" width="17.08203125" style="109" customWidth="1"/>
    <col min="7" max="8" width="8.58203125" style="109" customWidth="1"/>
    <col min="9" max="9" width="1.33203125" style="109" customWidth="1"/>
    <col min="10" max="16384" width="8.58203125" style="109"/>
  </cols>
  <sheetData>
    <row r="1" spans="2:8" ht="10.5" customHeight="1" x14ac:dyDescent="0.55000000000000004"/>
    <row r="2" spans="2:8" ht="44.5" customHeight="1" x14ac:dyDescent="0.55000000000000004">
      <c r="B2" s="210" t="s">
        <v>675</v>
      </c>
      <c r="C2" s="211"/>
      <c r="D2" s="212" t="str">
        <f>IF(入力表!D12="","",入力表!D12)</f>
        <v/>
      </c>
      <c r="E2" s="213"/>
      <c r="F2" s="213"/>
      <c r="G2" s="213"/>
      <c r="H2" s="214"/>
    </row>
    <row r="3" spans="2:8" ht="38.5" customHeight="1" x14ac:dyDescent="0.55000000000000004">
      <c r="B3" s="215" t="s">
        <v>31</v>
      </c>
      <c r="C3" s="216"/>
      <c r="D3" s="217" t="str">
        <f>IF(入力表!D11="","",入力表!D11)</f>
        <v/>
      </c>
      <c r="E3" s="218"/>
      <c r="F3" s="218"/>
      <c r="G3" s="218"/>
      <c r="H3" s="219"/>
    </row>
    <row r="4" spans="2:8" ht="9.65" customHeight="1" x14ac:dyDescent="0.55000000000000004"/>
    <row r="5" spans="2:8" ht="35.5" customHeight="1" thickBot="1" x14ac:dyDescent="0.6">
      <c r="B5" s="110" t="s">
        <v>0</v>
      </c>
      <c r="C5" s="111" t="str">
        <f>IF(入力表!D16="","",EDATE(入力表!D16,1))</f>
        <v/>
      </c>
      <c r="D5" s="112" t="str">
        <f>IF(入力表!D16="","",EDATE(入力表!D16,1))</f>
        <v/>
      </c>
    </row>
    <row r="6" spans="2:8" ht="19" customHeight="1" x14ac:dyDescent="0.55000000000000004">
      <c r="B6" s="220" t="s">
        <v>32</v>
      </c>
      <c r="C6" s="222" t="s">
        <v>660</v>
      </c>
      <c r="D6" s="223"/>
      <c r="E6" s="223"/>
      <c r="F6" s="223"/>
      <c r="G6" s="223"/>
      <c r="H6" s="224"/>
    </row>
    <row r="7" spans="2:8" ht="35.15" customHeight="1" thickBot="1" x14ac:dyDescent="0.6">
      <c r="B7" s="221"/>
      <c r="C7" s="113" t="s">
        <v>662</v>
      </c>
      <c r="D7" s="114" t="s">
        <v>33</v>
      </c>
      <c r="E7" s="114" t="s">
        <v>663</v>
      </c>
      <c r="F7" s="115" t="s">
        <v>6</v>
      </c>
      <c r="G7" s="225" t="s">
        <v>34</v>
      </c>
      <c r="H7" s="226"/>
    </row>
    <row r="8" spans="2:8" ht="18.649999999999999" customHeight="1" x14ac:dyDescent="0.55000000000000004">
      <c r="B8" s="116">
        <v>1</v>
      </c>
      <c r="C8" s="131"/>
      <c r="D8" s="132"/>
      <c r="E8" s="132"/>
      <c r="F8" s="133"/>
      <c r="G8" s="229" t="str">
        <f>IF(COUNT(C8,D8,E8,F8)=0,"",SUM(C8,D8,E8,F8))</f>
        <v/>
      </c>
      <c r="H8" s="230"/>
    </row>
    <row r="9" spans="2:8" ht="18.649999999999999" customHeight="1" x14ac:dyDescent="0.55000000000000004">
      <c r="B9" s="117">
        <v>2</v>
      </c>
      <c r="C9" s="131"/>
      <c r="D9" s="132"/>
      <c r="E9" s="132"/>
      <c r="F9" s="133"/>
      <c r="G9" s="227" t="str">
        <f t="shared" ref="G9:G39" si="0">IF(COUNT(C9,D9,E9,F9)=0,"",SUM(C9,D9,E9,F9))</f>
        <v/>
      </c>
      <c r="H9" s="228"/>
    </row>
    <row r="10" spans="2:8" ht="18.649999999999999" customHeight="1" x14ac:dyDescent="0.55000000000000004">
      <c r="B10" s="117">
        <v>3</v>
      </c>
      <c r="C10" s="131"/>
      <c r="D10" s="132"/>
      <c r="E10" s="132"/>
      <c r="F10" s="133"/>
      <c r="G10" s="227" t="str">
        <f t="shared" si="0"/>
        <v/>
      </c>
      <c r="H10" s="228"/>
    </row>
    <row r="11" spans="2:8" ht="18.649999999999999" customHeight="1" x14ac:dyDescent="0.55000000000000004">
      <c r="B11" s="117">
        <v>4</v>
      </c>
      <c r="C11" s="131"/>
      <c r="D11" s="132"/>
      <c r="E11" s="132"/>
      <c r="F11" s="133"/>
      <c r="G11" s="227" t="str">
        <f t="shared" si="0"/>
        <v/>
      </c>
      <c r="H11" s="228"/>
    </row>
    <row r="12" spans="2:8" ht="18.649999999999999" customHeight="1" x14ac:dyDescent="0.55000000000000004">
      <c r="B12" s="117">
        <v>5</v>
      </c>
      <c r="C12" s="131"/>
      <c r="D12" s="132"/>
      <c r="E12" s="132"/>
      <c r="F12" s="133"/>
      <c r="G12" s="227" t="str">
        <f t="shared" si="0"/>
        <v/>
      </c>
      <c r="H12" s="228"/>
    </row>
    <row r="13" spans="2:8" ht="18.649999999999999" customHeight="1" x14ac:dyDescent="0.55000000000000004">
      <c r="B13" s="117">
        <v>6</v>
      </c>
      <c r="C13" s="131"/>
      <c r="D13" s="132"/>
      <c r="E13" s="132"/>
      <c r="F13" s="133"/>
      <c r="G13" s="227" t="str">
        <f t="shared" si="0"/>
        <v/>
      </c>
      <c r="H13" s="228"/>
    </row>
    <row r="14" spans="2:8" ht="18.649999999999999" customHeight="1" x14ac:dyDescent="0.55000000000000004">
      <c r="B14" s="117">
        <v>7</v>
      </c>
      <c r="C14" s="131"/>
      <c r="D14" s="132"/>
      <c r="E14" s="132"/>
      <c r="F14" s="133"/>
      <c r="G14" s="227" t="str">
        <f t="shared" si="0"/>
        <v/>
      </c>
      <c r="H14" s="228"/>
    </row>
    <row r="15" spans="2:8" ht="18.649999999999999" customHeight="1" x14ac:dyDescent="0.55000000000000004">
      <c r="B15" s="117">
        <v>8</v>
      </c>
      <c r="C15" s="131"/>
      <c r="D15" s="132"/>
      <c r="E15" s="132"/>
      <c r="F15" s="133"/>
      <c r="G15" s="227" t="str">
        <f t="shared" si="0"/>
        <v/>
      </c>
      <c r="H15" s="228"/>
    </row>
    <row r="16" spans="2:8" ht="18.649999999999999" customHeight="1" x14ac:dyDescent="0.55000000000000004">
      <c r="B16" s="117">
        <v>9</v>
      </c>
      <c r="C16" s="131"/>
      <c r="D16" s="132"/>
      <c r="E16" s="132"/>
      <c r="F16" s="133"/>
      <c r="G16" s="227" t="str">
        <f t="shared" si="0"/>
        <v/>
      </c>
      <c r="H16" s="228"/>
    </row>
    <row r="17" spans="2:8" ht="18.649999999999999" customHeight="1" x14ac:dyDescent="0.55000000000000004">
      <c r="B17" s="117">
        <v>10</v>
      </c>
      <c r="C17" s="131"/>
      <c r="D17" s="132"/>
      <c r="E17" s="132"/>
      <c r="F17" s="133"/>
      <c r="G17" s="227" t="str">
        <f t="shared" si="0"/>
        <v/>
      </c>
      <c r="H17" s="228"/>
    </row>
    <row r="18" spans="2:8" ht="18.649999999999999" customHeight="1" x14ac:dyDescent="0.55000000000000004">
      <c r="B18" s="117">
        <v>11</v>
      </c>
      <c r="C18" s="131"/>
      <c r="D18" s="132"/>
      <c r="E18" s="132"/>
      <c r="F18" s="133"/>
      <c r="G18" s="227" t="str">
        <f t="shared" si="0"/>
        <v/>
      </c>
      <c r="H18" s="228"/>
    </row>
    <row r="19" spans="2:8" ht="18.649999999999999" customHeight="1" x14ac:dyDescent="0.55000000000000004">
      <c r="B19" s="117">
        <v>12</v>
      </c>
      <c r="C19" s="131"/>
      <c r="D19" s="132"/>
      <c r="E19" s="132"/>
      <c r="F19" s="133"/>
      <c r="G19" s="227" t="str">
        <f t="shared" si="0"/>
        <v/>
      </c>
      <c r="H19" s="228"/>
    </row>
    <row r="20" spans="2:8" ht="18.649999999999999" customHeight="1" x14ac:dyDescent="0.55000000000000004">
      <c r="B20" s="117">
        <v>13</v>
      </c>
      <c r="C20" s="131"/>
      <c r="D20" s="132"/>
      <c r="E20" s="132"/>
      <c r="F20" s="133"/>
      <c r="G20" s="227" t="str">
        <f t="shared" si="0"/>
        <v/>
      </c>
      <c r="H20" s="228"/>
    </row>
    <row r="21" spans="2:8" ht="18.649999999999999" customHeight="1" x14ac:dyDescent="0.55000000000000004">
      <c r="B21" s="117">
        <v>14</v>
      </c>
      <c r="C21" s="131"/>
      <c r="D21" s="132"/>
      <c r="E21" s="132"/>
      <c r="F21" s="133"/>
      <c r="G21" s="227" t="str">
        <f t="shared" si="0"/>
        <v/>
      </c>
      <c r="H21" s="228"/>
    </row>
    <row r="22" spans="2:8" ht="18.649999999999999" customHeight="1" x14ac:dyDescent="0.55000000000000004">
      <c r="B22" s="117">
        <v>15</v>
      </c>
      <c r="C22" s="131"/>
      <c r="D22" s="132"/>
      <c r="E22" s="132"/>
      <c r="F22" s="133"/>
      <c r="G22" s="227" t="str">
        <f t="shared" si="0"/>
        <v/>
      </c>
      <c r="H22" s="228"/>
    </row>
    <row r="23" spans="2:8" ht="18.649999999999999" customHeight="1" x14ac:dyDescent="0.55000000000000004">
      <c r="B23" s="117">
        <v>16</v>
      </c>
      <c r="C23" s="131"/>
      <c r="D23" s="132"/>
      <c r="E23" s="132"/>
      <c r="F23" s="133"/>
      <c r="G23" s="227" t="str">
        <f t="shared" si="0"/>
        <v/>
      </c>
      <c r="H23" s="228"/>
    </row>
    <row r="24" spans="2:8" ht="18.649999999999999" customHeight="1" x14ac:dyDescent="0.55000000000000004">
      <c r="B24" s="117">
        <v>17</v>
      </c>
      <c r="C24" s="131"/>
      <c r="D24" s="132"/>
      <c r="E24" s="132"/>
      <c r="F24" s="133"/>
      <c r="G24" s="227" t="str">
        <f t="shared" si="0"/>
        <v/>
      </c>
      <c r="H24" s="228"/>
    </row>
    <row r="25" spans="2:8" ht="18.649999999999999" customHeight="1" x14ac:dyDescent="0.55000000000000004">
      <c r="B25" s="117">
        <v>18</v>
      </c>
      <c r="C25" s="131"/>
      <c r="D25" s="132"/>
      <c r="E25" s="132"/>
      <c r="F25" s="133"/>
      <c r="G25" s="227" t="str">
        <f t="shared" si="0"/>
        <v/>
      </c>
      <c r="H25" s="228"/>
    </row>
    <row r="26" spans="2:8" ht="18.649999999999999" customHeight="1" x14ac:dyDescent="0.55000000000000004">
      <c r="B26" s="117">
        <v>19</v>
      </c>
      <c r="C26" s="131"/>
      <c r="D26" s="132"/>
      <c r="E26" s="132"/>
      <c r="F26" s="133"/>
      <c r="G26" s="227" t="str">
        <f t="shared" si="0"/>
        <v/>
      </c>
      <c r="H26" s="228"/>
    </row>
    <row r="27" spans="2:8" ht="18.649999999999999" customHeight="1" x14ac:dyDescent="0.55000000000000004">
      <c r="B27" s="117">
        <v>20</v>
      </c>
      <c r="C27" s="131"/>
      <c r="D27" s="132"/>
      <c r="E27" s="132"/>
      <c r="F27" s="133"/>
      <c r="G27" s="227" t="str">
        <f t="shared" si="0"/>
        <v/>
      </c>
      <c r="H27" s="228"/>
    </row>
    <row r="28" spans="2:8" ht="18.649999999999999" customHeight="1" x14ac:dyDescent="0.55000000000000004">
      <c r="B28" s="117">
        <v>21</v>
      </c>
      <c r="C28" s="131"/>
      <c r="D28" s="132"/>
      <c r="E28" s="132"/>
      <c r="F28" s="133"/>
      <c r="G28" s="227" t="str">
        <f t="shared" si="0"/>
        <v/>
      </c>
      <c r="H28" s="228"/>
    </row>
    <row r="29" spans="2:8" ht="18.649999999999999" customHeight="1" x14ac:dyDescent="0.55000000000000004">
      <c r="B29" s="117">
        <v>22</v>
      </c>
      <c r="C29" s="131"/>
      <c r="D29" s="132"/>
      <c r="E29" s="132"/>
      <c r="F29" s="133"/>
      <c r="G29" s="227" t="str">
        <f t="shared" si="0"/>
        <v/>
      </c>
      <c r="H29" s="228"/>
    </row>
    <row r="30" spans="2:8" ht="18.649999999999999" customHeight="1" x14ac:dyDescent="0.55000000000000004">
      <c r="B30" s="117">
        <v>23</v>
      </c>
      <c r="C30" s="131"/>
      <c r="D30" s="132"/>
      <c r="E30" s="132"/>
      <c r="F30" s="133"/>
      <c r="G30" s="227" t="str">
        <f t="shared" si="0"/>
        <v/>
      </c>
      <c r="H30" s="228"/>
    </row>
    <row r="31" spans="2:8" ht="18.649999999999999" customHeight="1" x14ac:dyDescent="0.55000000000000004">
      <c r="B31" s="117">
        <v>24</v>
      </c>
      <c r="C31" s="131"/>
      <c r="D31" s="132"/>
      <c r="E31" s="132"/>
      <c r="F31" s="133"/>
      <c r="G31" s="227" t="str">
        <f t="shared" si="0"/>
        <v/>
      </c>
      <c r="H31" s="228"/>
    </row>
    <row r="32" spans="2:8" ht="18.649999999999999" customHeight="1" x14ac:dyDescent="0.55000000000000004">
      <c r="B32" s="117">
        <v>25</v>
      </c>
      <c r="C32" s="131"/>
      <c r="D32" s="132"/>
      <c r="E32" s="132"/>
      <c r="F32" s="133"/>
      <c r="G32" s="227" t="str">
        <f t="shared" si="0"/>
        <v/>
      </c>
      <c r="H32" s="228"/>
    </row>
    <row r="33" spans="2:8" ht="18.649999999999999" customHeight="1" x14ac:dyDescent="0.55000000000000004">
      <c r="B33" s="117">
        <v>26</v>
      </c>
      <c r="C33" s="131"/>
      <c r="D33" s="132"/>
      <c r="E33" s="132"/>
      <c r="F33" s="133"/>
      <c r="G33" s="227" t="str">
        <f t="shared" si="0"/>
        <v/>
      </c>
      <c r="H33" s="228"/>
    </row>
    <row r="34" spans="2:8" ht="18.649999999999999" customHeight="1" x14ac:dyDescent="0.55000000000000004">
      <c r="B34" s="117">
        <v>27</v>
      </c>
      <c r="C34" s="131"/>
      <c r="D34" s="132"/>
      <c r="E34" s="132"/>
      <c r="F34" s="133"/>
      <c r="G34" s="227" t="str">
        <f t="shared" si="0"/>
        <v/>
      </c>
      <c r="H34" s="228"/>
    </row>
    <row r="35" spans="2:8" ht="18.649999999999999" customHeight="1" x14ac:dyDescent="0.55000000000000004">
      <c r="B35" s="117">
        <v>28</v>
      </c>
      <c r="C35" s="131"/>
      <c r="D35" s="132"/>
      <c r="E35" s="132"/>
      <c r="F35" s="133"/>
      <c r="G35" s="227" t="str">
        <f t="shared" si="0"/>
        <v/>
      </c>
      <c r="H35" s="228"/>
    </row>
    <row r="36" spans="2:8" ht="18.649999999999999" customHeight="1" x14ac:dyDescent="0.55000000000000004">
      <c r="B36" s="117">
        <v>29</v>
      </c>
      <c r="C36" s="131"/>
      <c r="D36" s="132"/>
      <c r="E36" s="132"/>
      <c r="F36" s="133"/>
      <c r="G36" s="227" t="str">
        <f t="shared" si="0"/>
        <v/>
      </c>
      <c r="H36" s="228"/>
    </row>
    <row r="37" spans="2:8" ht="18.649999999999999" customHeight="1" x14ac:dyDescent="0.55000000000000004">
      <c r="B37" s="117">
        <v>30</v>
      </c>
      <c r="C37" s="131"/>
      <c r="D37" s="132"/>
      <c r="E37" s="132"/>
      <c r="F37" s="133"/>
      <c r="G37" s="227" t="str">
        <f t="shared" si="0"/>
        <v/>
      </c>
      <c r="H37" s="228"/>
    </row>
    <row r="38" spans="2:8" ht="18.649999999999999" customHeight="1" thickBot="1" x14ac:dyDescent="0.6">
      <c r="B38" s="117">
        <v>31</v>
      </c>
      <c r="C38" s="131"/>
      <c r="D38" s="132"/>
      <c r="E38" s="132"/>
      <c r="F38" s="133"/>
      <c r="G38" s="231" t="str">
        <f t="shared" si="0"/>
        <v/>
      </c>
      <c r="H38" s="232"/>
    </row>
    <row r="39" spans="2:8" ht="18.649999999999999" customHeight="1" thickBot="1" x14ac:dyDescent="0.6">
      <c r="B39" s="118" t="s">
        <v>661</v>
      </c>
      <c r="C39" s="119">
        <f>IF(C7&lt;&gt;"",SUM(C8:C38),"")</f>
        <v>0</v>
      </c>
      <c r="D39" s="120">
        <f t="shared" ref="D39:E39" si="1">IF(D7&lt;&gt;"",SUM(D8:D38),"")</f>
        <v>0</v>
      </c>
      <c r="E39" s="120">
        <f t="shared" si="1"/>
        <v>0</v>
      </c>
      <c r="F39" s="121" t="str">
        <f>IF(AND(C5&lt;&gt;"",D5&lt;&gt;""),SUM(F8:F38),"")</f>
        <v/>
      </c>
      <c r="G39" s="231">
        <f t="shared" si="0"/>
        <v>0</v>
      </c>
      <c r="H39" s="232"/>
    </row>
    <row r="40" spans="2:8" ht="18.649999999999999" customHeight="1" thickBot="1" x14ac:dyDescent="0.6">
      <c r="B40" s="122" t="s">
        <v>35</v>
      </c>
      <c r="C40" s="123">
        <v>100</v>
      </c>
      <c r="D40" s="124">
        <v>200</v>
      </c>
      <c r="E40" s="124">
        <v>500</v>
      </c>
      <c r="F40" s="125"/>
      <c r="G40" s="233"/>
      <c r="H40" s="234"/>
    </row>
    <row r="41" spans="2:8" ht="18.649999999999999" customHeight="1" thickBot="1" x14ac:dyDescent="0.6">
      <c r="B41" s="126" t="s">
        <v>36</v>
      </c>
      <c r="C41" s="127">
        <f>IFERROR(C39*C40,"")</f>
        <v>0</v>
      </c>
      <c r="D41" s="128">
        <f t="shared" ref="D41:E41" si="2">IFERROR(D39*D40,"")</f>
        <v>0</v>
      </c>
      <c r="E41" s="128">
        <f t="shared" si="2"/>
        <v>0</v>
      </c>
      <c r="F41" s="129"/>
      <c r="G41" s="235">
        <f>IF(COUNT(C41,D41,E41)=0,"",SUM(C41,D41,E41))</f>
        <v>0</v>
      </c>
      <c r="H41" s="236"/>
    </row>
  </sheetData>
  <sheetProtection algorithmName="SHA-512" hashValue="ut1OvgKwYdILcq1+3HAWoUzPe1XGw0s2Lz/LJ8QiAQ1Jh5LL1qTwFUqYfW7GFl4hzjgCdZaMEbHLkYsNsqG9jg==" saltValue="v4yJbF0wa3q1pzH5EhIn2A==" spinCount="100000" sheet="1" formatCells="0" selectLockedCells="1"/>
  <mergeCells count="41">
    <mergeCell ref="G38:H38"/>
    <mergeCell ref="G39:H39"/>
    <mergeCell ref="G40:H40"/>
    <mergeCell ref="G41:H41"/>
    <mergeCell ref="G32:H32"/>
    <mergeCell ref="G33:H33"/>
    <mergeCell ref="G34:H34"/>
    <mergeCell ref="G35:H35"/>
    <mergeCell ref="G36:H36"/>
    <mergeCell ref="G37:H37"/>
    <mergeCell ref="G31:H31"/>
    <mergeCell ref="G20:H20"/>
    <mergeCell ref="G21:H21"/>
    <mergeCell ref="G22:H22"/>
    <mergeCell ref="G23:H23"/>
    <mergeCell ref="G24:H24"/>
    <mergeCell ref="G25:H25"/>
    <mergeCell ref="G26:H26"/>
    <mergeCell ref="G27:H27"/>
    <mergeCell ref="G28:H28"/>
    <mergeCell ref="G29:H29"/>
    <mergeCell ref="G30:H30"/>
    <mergeCell ref="G19:H19"/>
    <mergeCell ref="G8:H8"/>
    <mergeCell ref="G9:H9"/>
    <mergeCell ref="G10:H10"/>
    <mergeCell ref="G11:H11"/>
    <mergeCell ref="G12:H12"/>
    <mergeCell ref="G13:H13"/>
    <mergeCell ref="G14:H14"/>
    <mergeCell ref="G15:H15"/>
    <mergeCell ref="G16:H16"/>
    <mergeCell ref="G17:H17"/>
    <mergeCell ref="G18:H18"/>
    <mergeCell ref="B2:C2"/>
    <mergeCell ref="D2:H2"/>
    <mergeCell ref="B3:C3"/>
    <mergeCell ref="D3:H3"/>
    <mergeCell ref="B6:B7"/>
    <mergeCell ref="C6:H6"/>
    <mergeCell ref="G7:H7"/>
  </mergeCells>
  <phoneticPr fontId="1"/>
  <printOptions horizontalCentered="1" verticalCentered="1"/>
  <pageMargins left="0.70866141732283472" right="0.70866141732283472" top="0.74803149606299213" bottom="0.74803149606299213" header="0.31496062992125984" footer="0.31496062992125984"/>
  <pageSetup paperSize="9" scale="83"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A138-1A73-4B73-842D-5219CBC69DFE}">
  <sheetPr>
    <tabColor rgb="FF00B0F0"/>
  </sheetPr>
  <dimension ref="B1:H42"/>
  <sheetViews>
    <sheetView showGridLines="0" zoomScaleNormal="100" workbookViewId="0">
      <selection activeCell="C8" sqref="C8"/>
    </sheetView>
  </sheetViews>
  <sheetFormatPr defaultColWidth="8.58203125" defaultRowHeight="17.5" x14ac:dyDescent="0.55000000000000004"/>
  <cols>
    <col min="1" max="1" width="2.08203125" style="109" customWidth="1"/>
    <col min="2" max="2" width="10.33203125" style="109" bestFit="1" customWidth="1"/>
    <col min="3" max="6" width="17.08203125" style="109" customWidth="1"/>
    <col min="7" max="8" width="8.58203125" style="109" customWidth="1"/>
    <col min="9" max="9" width="1.33203125" style="109" customWidth="1"/>
    <col min="10" max="16384" width="8.58203125" style="109"/>
  </cols>
  <sheetData>
    <row r="1" spans="2:8" ht="10.5" customHeight="1" x14ac:dyDescent="0.55000000000000004"/>
    <row r="2" spans="2:8" ht="44.5" customHeight="1" x14ac:dyDescent="0.55000000000000004">
      <c r="B2" s="210" t="s">
        <v>675</v>
      </c>
      <c r="C2" s="211"/>
      <c r="D2" s="212" t="str">
        <f>IF(入力表!D12="","",入力表!D12)</f>
        <v/>
      </c>
      <c r="E2" s="213"/>
      <c r="F2" s="213"/>
      <c r="G2" s="213"/>
      <c r="H2" s="214"/>
    </row>
    <row r="3" spans="2:8" ht="38.5" customHeight="1" x14ac:dyDescent="0.55000000000000004">
      <c r="B3" s="215" t="s">
        <v>31</v>
      </c>
      <c r="C3" s="216"/>
      <c r="D3" s="217" t="str">
        <f>IF(入力表!D11="","",入力表!D11)</f>
        <v/>
      </c>
      <c r="E3" s="218"/>
      <c r="F3" s="218"/>
      <c r="G3" s="218"/>
      <c r="H3" s="219"/>
    </row>
    <row r="4" spans="2:8" ht="9.65" customHeight="1" x14ac:dyDescent="0.55000000000000004"/>
    <row r="5" spans="2:8" ht="35.5" customHeight="1" thickBot="1" x14ac:dyDescent="0.6">
      <c r="B5" s="110" t="s">
        <v>0</v>
      </c>
      <c r="C5" s="111" t="str">
        <f>IF(入力表!D16="","",EDATE(入力表!D16,2))</f>
        <v/>
      </c>
      <c r="D5" s="112" t="str">
        <f>IF(入力表!D16="","",EDATE(入力表!D16,2))</f>
        <v/>
      </c>
    </row>
    <row r="6" spans="2:8" ht="19" customHeight="1" x14ac:dyDescent="0.55000000000000004">
      <c r="B6" s="220" t="s">
        <v>32</v>
      </c>
      <c r="C6" s="222" t="s">
        <v>660</v>
      </c>
      <c r="D6" s="223"/>
      <c r="E6" s="223"/>
      <c r="F6" s="223"/>
      <c r="G6" s="223"/>
      <c r="H6" s="224"/>
    </row>
    <row r="7" spans="2:8" ht="35.15" customHeight="1" thickBot="1" x14ac:dyDescent="0.6">
      <c r="B7" s="221"/>
      <c r="C7" s="113" t="s">
        <v>662</v>
      </c>
      <c r="D7" s="114" t="s">
        <v>33</v>
      </c>
      <c r="E7" s="114" t="s">
        <v>663</v>
      </c>
      <c r="F7" s="115" t="s">
        <v>6</v>
      </c>
      <c r="G7" s="225" t="s">
        <v>34</v>
      </c>
      <c r="H7" s="226"/>
    </row>
    <row r="8" spans="2:8" ht="18.649999999999999" customHeight="1" x14ac:dyDescent="0.55000000000000004">
      <c r="B8" s="116">
        <v>1</v>
      </c>
      <c r="C8" s="131"/>
      <c r="D8" s="132"/>
      <c r="E8" s="132"/>
      <c r="F8" s="133"/>
      <c r="G8" s="229" t="str">
        <f>IF(COUNT(C8,D8,E8,F8)=0,"",SUM(C8,D8,E8,F8))</f>
        <v/>
      </c>
      <c r="H8" s="230"/>
    </row>
    <row r="9" spans="2:8" ht="18.649999999999999" customHeight="1" x14ac:dyDescent="0.55000000000000004">
      <c r="B9" s="117">
        <v>2</v>
      </c>
      <c r="C9" s="131"/>
      <c r="D9" s="132"/>
      <c r="E9" s="132"/>
      <c r="F9" s="133"/>
      <c r="G9" s="227" t="str">
        <f t="shared" ref="G9:G39" si="0">IF(COUNT(C9,D9,E9,F9)=0,"",SUM(C9,D9,E9,F9))</f>
        <v/>
      </c>
      <c r="H9" s="228"/>
    </row>
    <row r="10" spans="2:8" ht="18.649999999999999" customHeight="1" x14ac:dyDescent="0.55000000000000004">
      <c r="B10" s="117">
        <v>3</v>
      </c>
      <c r="C10" s="131"/>
      <c r="D10" s="132"/>
      <c r="E10" s="132"/>
      <c r="F10" s="133"/>
      <c r="G10" s="227" t="str">
        <f t="shared" si="0"/>
        <v/>
      </c>
      <c r="H10" s="228"/>
    </row>
    <row r="11" spans="2:8" ht="18.649999999999999" customHeight="1" x14ac:dyDescent="0.55000000000000004">
      <c r="B11" s="117">
        <v>4</v>
      </c>
      <c r="C11" s="131"/>
      <c r="D11" s="132"/>
      <c r="E11" s="132"/>
      <c r="F11" s="133"/>
      <c r="G11" s="227" t="str">
        <f t="shared" si="0"/>
        <v/>
      </c>
      <c r="H11" s="228"/>
    </row>
    <row r="12" spans="2:8" ht="18.649999999999999" customHeight="1" x14ac:dyDescent="0.55000000000000004">
      <c r="B12" s="117">
        <v>5</v>
      </c>
      <c r="C12" s="131"/>
      <c r="D12" s="132"/>
      <c r="E12" s="132"/>
      <c r="F12" s="133"/>
      <c r="G12" s="227" t="str">
        <f t="shared" si="0"/>
        <v/>
      </c>
      <c r="H12" s="228"/>
    </row>
    <row r="13" spans="2:8" ht="18.649999999999999" customHeight="1" x14ac:dyDescent="0.55000000000000004">
      <c r="B13" s="117">
        <v>6</v>
      </c>
      <c r="C13" s="131"/>
      <c r="D13" s="132"/>
      <c r="E13" s="132"/>
      <c r="F13" s="133"/>
      <c r="G13" s="227" t="str">
        <f t="shared" si="0"/>
        <v/>
      </c>
      <c r="H13" s="228"/>
    </row>
    <row r="14" spans="2:8" ht="18.649999999999999" customHeight="1" x14ac:dyDescent="0.55000000000000004">
      <c r="B14" s="117">
        <v>7</v>
      </c>
      <c r="C14" s="131"/>
      <c r="D14" s="132"/>
      <c r="E14" s="132"/>
      <c r="F14" s="133"/>
      <c r="G14" s="227" t="str">
        <f t="shared" si="0"/>
        <v/>
      </c>
      <c r="H14" s="228"/>
    </row>
    <row r="15" spans="2:8" ht="18.649999999999999" customHeight="1" x14ac:dyDescent="0.55000000000000004">
      <c r="B15" s="117">
        <v>8</v>
      </c>
      <c r="C15" s="131"/>
      <c r="D15" s="132"/>
      <c r="E15" s="132"/>
      <c r="F15" s="133"/>
      <c r="G15" s="227" t="str">
        <f t="shared" si="0"/>
        <v/>
      </c>
      <c r="H15" s="228"/>
    </row>
    <row r="16" spans="2:8" ht="18.649999999999999" customHeight="1" x14ac:dyDescent="0.55000000000000004">
      <c r="B16" s="117">
        <v>9</v>
      </c>
      <c r="C16" s="131"/>
      <c r="D16" s="132"/>
      <c r="E16" s="132"/>
      <c r="F16" s="133"/>
      <c r="G16" s="227" t="str">
        <f t="shared" si="0"/>
        <v/>
      </c>
      <c r="H16" s="228"/>
    </row>
    <row r="17" spans="2:8" ht="18.649999999999999" customHeight="1" x14ac:dyDescent="0.55000000000000004">
      <c r="B17" s="117">
        <v>10</v>
      </c>
      <c r="C17" s="131"/>
      <c r="D17" s="132"/>
      <c r="E17" s="132"/>
      <c r="F17" s="133"/>
      <c r="G17" s="227" t="str">
        <f t="shared" si="0"/>
        <v/>
      </c>
      <c r="H17" s="228"/>
    </row>
    <row r="18" spans="2:8" ht="18.649999999999999" customHeight="1" x14ac:dyDescent="0.55000000000000004">
      <c r="B18" s="117">
        <v>11</v>
      </c>
      <c r="C18" s="131"/>
      <c r="D18" s="132"/>
      <c r="E18" s="132"/>
      <c r="F18" s="133"/>
      <c r="G18" s="227" t="str">
        <f t="shared" si="0"/>
        <v/>
      </c>
      <c r="H18" s="228"/>
    </row>
    <row r="19" spans="2:8" ht="18.649999999999999" customHeight="1" x14ac:dyDescent="0.55000000000000004">
      <c r="B19" s="117">
        <v>12</v>
      </c>
      <c r="C19" s="131"/>
      <c r="D19" s="132"/>
      <c r="E19" s="132"/>
      <c r="F19" s="133"/>
      <c r="G19" s="227" t="str">
        <f t="shared" si="0"/>
        <v/>
      </c>
      <c r="H19" s="228"/>
    </row>
    <row r="20" spans="2:8" ht="18.649999999999999" customHeight="1" x14ac:dyDescent="0.55000000000000004">
      <c r="B20" s="117">
        <v>13</v>
      </c>
      <c r="C20" s="131"/>
      <c r="D20" s="132"/>
      <c r="E20" s="132"/>
      <c r="F20" s="133"/>
      <c r="G20" s="227" t="str">
        <f t="shared" si="0"/>
        <v/>
      </c>
      <c r="H20" s="228"/>
    </row>
    <row r="21" spans="2:8" ht="18.649999999999999" customHeight="1" x14ac:dyDescent="0.55000000000000004">
      <c r="B21" s="117">
        <v>14</v>
      </c>
      <c r="C21" s="131"/>
      <c r="D21" s="132"/>
      <c r="E21" s="132"/>
      <c r="F21" s="133"/>
      <c r="G21" s="227" t="str">
        <f t="shared" si="0"/>
        <v/>
      </c>
      <c r="H21" s="228"/>
    </row>
    <row r="22" spans="2:8" ht="18.649999999999999" customHeight="1" x14ac:dyDescent="0.55000000000000004">
      <c r="B22" s="117">
        <v>15</v>
      </c>
      <c r="C22" s="131"/>
      <c r="D22" s="132"/>
      <c r="E22" s="132"/>
      <c r="F22" s="133"/>
      <c r="G22" s="227" t="str">
        <f t="shared" si="0"/>
        <v/>
      </c>
      <c r="H22" s="228"/>
    </row>
    <row r="23" spans="2:8" ht="18.649999999999999" customHeight="1" x14ac:dyDescent="0.55000000000000004">
      <c r="B23" s="117">
        <v>16</v>
      </c>
      <c r="C23" s="131"/>
      <c r="D23" s="132"/>
      <c r="E23" s="132"/>
      <c r="F23" s="133"/>
      <c r="G23" s="227" t="str">
        <f t="shared" si="0"/>
        <v/>
      </c>
      <c r="H23" s="228"/>
    </row>
    <row r="24" spans="2:8" ht="18.649999999999999" customHeight="1" x14ac:dyDescent="0.55000000000000004">
      <c r="B24" s="117">
        <v>17</v>
      </c>
      <c r="C24" s="131"/>
      <c r="D24" s="132"/>
      <c r="E24" s="132"/>
      <c r="F24" s="133"/>
      <c r="G24" s="227" t="str">
        <f t="shared" si="0"/>
        <v/>
      </c>
      <c r="H24" s="228"/>
    </row>
    <row r="25" spans="2:8" ht="18.649999999999999" customHeight="1" x14ac:dyDescent="0.55000000000000004">
      <c r="B25" s="117">
        <v>18</v>
      </c>
      <c r="C25" s="131"/>
      <c r="D25" s="132"/>
      <c r="E25" s="132"/>
      <c r="F25" s="133"/>
      <c r="G25" s="227" t="str">
        <f t="shared" si="0"/>
        <v/>
      </c>
      <c r="H25" s="228"/>
    </row>
    <row r="26" spans="2:8" ht="18.649999999999999" customHeight="1" x14ac:dyDescent="0.55000000000000004">
      <c r="B26" s="117">
        <v>19</v>
      </c>
      <c r="C26" s="131"/>
      <c r="D26" s="132"/>
      <c r="E26" s="132"/>
      <c r="F26" s="133"/>
      <c r="G26" s="227" t="str">
        <f t="shared" si="0"/>
        <v/>
      </c>
      <c r="H26" s="228"/>
    </row>
    <row r="27" spans="2:8" ht="18.649999999999999" customHeight="1" x14ac:dyDescent="0.55000000000000004">
      <c r="B27" s="117">
        <v>20</v>
      </c>
      <c r="C27" s="131"/>
      <c r="D27" s="132"/>
      <c r="E27" s="132"/>
      <c r="F27" s="133"/>
      <c r="G27" s="227" t="str">
        <f t="shared" si="0"/>
        <v/>
      </c>
      <c r="H27" s="228"/>
    </row>
    <row r="28" spans="2:8" ht="18.649999999999999" customHeight="1" x14ac:dyDescent="0.55000000000000004">
      <c r="B28" s="117">
        <v>21</v>
      </c>
      <c r="C28" s="131"/>
      <c r="D28" s="132"/>
      <c r="E28" s="132"/>
      <c r="F28" s="133"/>
      <c r="G28" s="227" t="str">
        <f t="shared" si="0"/>
        <v/>
      </c>
      <c r="H28" s="228"/>
    </row>
    <row r="29" spans="2:8" ht="18.649999999999999" customHeight="1" x14ac:dyDescent="0.55000000000000004">
      <c r="B29" s="117">
        <v>22</v>
      </c>
      <c r="C29" s="131"/>
      <c r="D29" s="132"/>
      <c r="E29" s="132"/>
      <c r="F29" s="133"/>
      <c r="G29" s="227" t="str">
        <f t="shared" si="0"/>
        <v/>
      </c>
      <c r="H29" s="228"/>
    </row>
    <row r="30" spans="2:8" ht="18.649999999999999" customHeight="1" x14ac:dyDescent="0.55000000000000004">
      <c r="B30" s="117">
        <v>23</v>
      </c>
      <c r="C30" s="131"/>
      <c r="D30" s="132"/>
      <c r="E30" s="132"/>
      <c r="F30" s="133"/>
      <c r="G30" s="227" t="str">
        <f t="shared" si="0"/>
        <v/>
      </c>
      <c r="H30" s="228"/>
    </row>
    <row r="31" spans="2:8" ht="18.649999999999999" customHeight="1" x14ac:dyDescent="0.55000000000000004">
      <c r="B31" s="117">
        <v>24</v>
      </c>
      <c r="C31" s="131"/>
      <c r="D31" s="132"/>
      <c r="E31" s="132"/>
      <c r="F31" s="133"/>
      <c r="G31" s="227" t="str">
        <f t="shared" si="0"/>
        <v/>
      </c>
      <c r="H31" s="228"/>
    </row>
    <row r="32" spans="2:8" ht="18.649999999999999" customHeight="1" x14ac:dyDescent="0.55000000000000004">
      <c r="B32" s="117">
        <v>25</v>
      </c>
      <c r="C32" s="131"/>
      <c r="D32" s="132"/>
      <c r="E32" s="132"/>
      <c r="F32" s="133"/>
      <c r="G32" s="227" t="str">
        <f t="shared" si="0"/>
        <v/>
      </c>
      <c r="H32" s="228"/>
    </row>
    <row r="33" spans="2:8" ht="18.649999999999999" customHeight="1" x14ac:dyDescent="0.55000000000000004">
      <c r="B33" s="117">
        <v>26</v>
      </c>
      <c r="C33" s="131"/>
      <c r="D33" s="132"/>
      <c r="E33" s="132"/>
      <c r="F33" s="133"/>
      <c r="G33" s="227" t="str">
        <f t="shared" si="0"/>
        <v/>
      </c>
      <c r="H33" s="228"/>
    </row>
    <row r="34" spans="2:8" ht="18.649999999999999" customHeight="1" x14ac:dyDescent="0.55000000000000004">
      <c r="B34" s="117">
        <v>27</v>
      </c>
      <c r="C34" s="131"/>
      <c r="D34" s="132"/>
      <c r="E34" s="132"/>
      <c r="F34" s="133"/>
      <c r="G34" s="227" t="str">
        <f t="shared" si="0"/>
        <v/>
      </c>
      <c r="H34" s="228"/>
    </row>
    <row r="35" spans="2:8" ht="18.649999999999999" customHeight="1" x14ac:dyDescent="0.55000000000000004">
      <c r="B35" s="117">
        <v>28</v>
      </c>
      <c r="C35" s="131"/>
      <c r="D35" s="132"/>
      <c r="E35" s="132"/>
      <c r="F35" s="133"/>
      <c r="G35" s="227" t="str">
        <f t="shared" si="0"/>
        <v/>
      </c>
      <c r="H35" s="228"/>
    </row>
    <row r="36" spans="2:8" ht="18.649999999999999" customHeight="1" x14ac:dyDescent="0.55000000000000004">
      <c r="B36" s="117">
        <v>29</v>
      </c>
      <c r="C36" s="131"/>
      <c r="D36" s="132"/>
      <c r="E36" s="132"/>
      <c r="F36" s="133"/>
      <c r="G36" s="227" t="str">
        <f t="shared" si="0"/>
        <v/>
      </c>
      <c r="H36" s="228"/>
    </row>
    <row r="37" spans="2:8" ht="18.649999999999999" customHeight="1" x14ac:dyDescent="0.55000000000000004">
      <c r="B37" s="117">
        <v>30</v>
      </c>
      <c r="C37" s="131"/>
      <c r="D37" s="132"/>
      <c r="E37" s="132"/>
      <c r="F37" s="133"/>
      <c r="G37" s="227" t="str">
        <f t="shared" si="0"/>
        <v/>
      </c>
      <c r="H37" s="228"/>
    </row>
    <row r="38" spans="2:8" ht="18.649999999999999" customHeight="1" thickBot="1" x14ac:dyDescent="0.6">
      <c r="B38" s="117">
        <v>31</v>
      </c>
      <c r="C38" s="131"/>
      <c r="D38" s="132"/>
      <c r="E38" s="132"/>
      <c r="F38" s="133"/>
      <c r="G38" s="231" t="str">
        <f t="shared" si="0"/>
        <v/>
      </c>
      <c r="H38" s="232"/>
    </row>
    <row r="39" spans="2:8" ht="18.649999999999999" customHeight="1" thickBot="1" x14ac:dyDescent="0.6">
      <c r="B39" s="118" t="s">
        <v>661</v>
      </c>
      <c r="C39" s="119">
        <f>IF(C7&lt;&gt;"",SUM(C8:C38),"")</f>
        <v>0</v>
      </c>
      <c r="D39" s="120">
        <f t="shared" ref="D39:E39" si="1">IF(D7&lt;&gt;"",SUM(D8:D38),"")</f>
        <v>0</v>
      </c>
      <c r="E39" s="120">
        <f t="shared" si="1"/>
        <v>0</v>
      </c>
      <c r="F39" s="121" t="str">
        <f>IF(AND(C5&lt;&gt;"",D5&lt;&gt;""),SUM(F8:F38),"")</f>
        <v/>
      </c>
      <c r="G39" s="231">
        <f t="shared" si="0"/>
        <v>0</v>
      </c>
      <c r="H39" s="232"/>
    </row>
    <row r="40" spans="2:8" ht="18.649999999999999" customHeight="1" thickBot="1" x14ac:dyDescent="0.6">
      <c r="B40" s="122" t="s">
        <v>35</v>
      </c>
      <c r="C40" s="123">
        <v>100</v>
      </c>
      <c r="D40" s="124">
        <v>200</v>
      </c>
      <c r="E40" s="124">
        <v>500</v>
      </c>
      <c r="F40" s="125"/>
      <c r="G40" s="233"/>
      <c r="H40" s="234"/>
    </row>
    <row r="41" spans="2:8" ht="18.649999999999999" customHeight="1" thickBot="1" x14ac:dyDescent="0.6">
      <c r="B41" s="126" t="s">
        <v>36</v>
      </c>
      <c r="C41" s="127">
        <f>IFERROR(C39*C40,"")</f>
        <v>0</v>
      </c>
      <c r="D41" s="128">
        <f t="shared" ref="D41:E41" si="2">IFERROR(D39*D40,"")</f>
        <v>0</v>
      </c>
      <c r="E41" s="128">
        <f t="shared" si="2"/>
        <v>0</v>
      </c>
      <c r="F41" s="129"/>
      <c r="G41" s="235">
        <f>IF(COUNT(C41,D41,E41)=0,"",SUM(C41,D41,E41))</f>
        <v>0</v>
      </c>
      <c r="H41" s="236"/>
    </row>
    <row r="42" spans="2:8" x14ac:dyDescent="0.55000000000000004">
      <c r="C42" s="130"/>
      <c r="D42" s="130"/>
      <c r="E42" s="130"/>
      <c r="F42" s="130"/>
    </row>
  </sheetData>
  <sheetProtection algorithmName="SHA-512" hashValue="d2tYs3oROFumDg8VLgirVFl5JQMouvdZkgrrCQr3bRuuigJn13KZgJ/9aDfKa78NiOrML8owsDNsWysNhevVxg==" saltValue="suL2192V5mAHu70/2DpdSA==" spinCount="100000" sheet="1" formatCells="0" selectLockedCells="1"/>
  <mergeCells count="41">
    <mergeCell ref="G38:H38"/>
    <mergeCell ref="G39:H39"/>
    <mergeCell ref="G40:H40"/>
    <mergeCell ref="G41:H41"/>
    <mergeCell ref="G32:H32"/>
    <mergeCell ref="G33:H33"/>
    <mergeCell ref="G34:H34"/>
    <mergeCell ref="G35:H35"/>
    <mergeCell ref="G36:H36"/>
    <mergeCell ref="G37:H37"/>
    <mergeCell ref="G31:H31"/>
    <mergeCell ref="G20:H20"/>
    <mergeCell ref="G21:H21"/>
    <mergeCell ref="G22:H22"/>
    <mergeCell ref="G23:H23"/>
    <mergeCell ref="G24:H24"/>
    <mergeCell ref="G25:H25"/>
    <mergeCell ref="G26:H26"/>
    <mergeCell ref="G27:H27"/>
    <mergeCell ref="G28:H28"/>
    <mergeCell ref="G29:H29"/>
    <mergeCell ref="G30:H30"/>
    <mergeCell ref="G19:H19"/>
    <mergeCell ref="G8:H8"/>
    <mergeCell ref="G9:H9"/>
    <mergeCell ref="G10:H10"/>
    <mergeCell ref="G11:H11"/>
    <mergeCell ref="G12:H12"/>
    <mergeCell ref="G13:H13"/>
    <mergeCell ref="G14:H14"/>
    <mergeCell ref="G15:H15"/>
    <mergeCell ref="G16:H16"/>
    <mergeCell ref="G17:H17"/>
    <mergeCell ref="G18:H18"/>
    <mergeCell ref="B2:C2"/>
    <mergeCell ref="D2:H2"/>
    <mergeCell ref="B3:C3"/>
    <mergeCell ref="D3:H3"/>
    <mergeCell ref="B6:B7"/>
    <mergeCell ref="C6:H6"/>
    <mergeCell ref="G7:H7"/>
  </mergeCells>
  <phoneticPr fontId="1"/>
  <printOptions horizontalCentered="1" verticalCentered="1"/>
  <pageMargins left="0.70866141732283472" right="0.70866141732283472" top="0.74803149606299213" bottom="0.74803149606299213" header="0.31496062992125984" footer="0.31496062992125984"/>
  <pageSetup paperSize="9" scale="83"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38"/>
  <sheetViews>
    <sheetView zoomScaleNormal="100" zoomScaleSheetLayoutView="90" workbookViewId="0">
      <selection activeCell="I6" sqref="I6:X6"/>
    </sheetView>
  </sheetViews>
  <sheetFormatPr defaultColWidth="4.58203125" defaultRowHeight="35.15" customHeight="1" x14ac:dyDescent="0.55000000000000004"/>
  <cols>
    <col min="1" max="1" width="4.58203125" style="134"/>
    <col min="2" max="2" width="5.08203125" style="134" customWidth="1"/>
    <col min="3" max="8" width="4.58203125" style="134"/>
    <col min="9" max="9" width="7.5" style="134" bestFit="1" customWidth="1"/>
    <col min="10" max="13" width="4.58203125" style="134"/>
    <col min="14" max="14" width="1.25" style="134" customWidth="1"/>
    <col min="15" max="15" width="3.33203125" style="134" customWidth="1"/>
    <col min="16" max="16" width="4.58203125" style="134"/>
    <col min="17" max="17" width="1.25" style="134" customWidth="1"/>
    <col min="18" max="18" width="2.08203125" style="134" customWidth="1"/>
    <col min="19" max="19" width="1.58203125" style="134" customWidth="1"/>
    <col min="20" max="16384" width="4.58203125" style="134"/>
  </cols>
  <sheetData>
    <row r="1" spans="1:24" ht="40" customHeight="1" x14ac:dyDescent="0.55000000000000004">
      <c r="A1" s="237" t="s">
        <v>27</v>
      </c>
      <c r="B1" s="237"/>
      <c r="C1" s="237"/>
      <c r="D1" s="237"/>
      <c r="E1" s="237"/>
      <c r="F1" s="237"/>
      <c r="G1" s="237"/>
      <c r="H1" s="237"/>
      <c r="I1" s="237"/>
      <c r="J1" s="237"/>
      <c r="K1" s="237"/>
      <c r="L1" s="237"/>
      <c r="M1" s="237"/>
      <c r="N1" s="237"/>
      <c r="O1" s="237"/>
      <c r="P1" s="237"/>
      <c r="Q1" s="237"/>
      <c r="R1" s="237"/>
      <c r="S1" s="237"/>
      <c r="T1" s="237"/>
      <c r="U1" s="237"/>
      <c r="V1" s="237"/>
      <c r="W1" s="237"/>
      <c r="X1" s="237"/>
    </row>
    <row r="2" spans="1:24" s="138" customFormat="1" ht="22" customHeight="1" x14ac:dyDescent="0.55000000000000004">
      <c r="A2" s="135"/>
      <c r="B2" s="136"/>
      <c r="C2" s="136"/>
      <c r="D2" s="136"/>
      <c r="E2" s="136"/>
      <c r="F2" s="136"/>
      <c r="G2" s="136"/>
      <c r="H2" s="137"/>
      <c r="I2" s="288" t="s">
        <v>20</v>
      </c>
      <c r="J2" s="275" t="s">
        <v>24</v>
      </c>
      <c r="K2" s="276"/>
      <c r="L2" s="276"/>
      <c r="M2" s="276"/>
      <c r="N2" s="276"/>
      <c r="O2" s="276"/>
      <c r="P2" s="276"/>
      <c r="Q2" s="276"/>
      <c r="R2" s="277"/>
      <c r="S2" s="265" t="s">
        <v>23</v>
      </c>
      <c r="T2" s="266"/>
      <c r="U2" s="266"/>
      <c r="V2" s="266"/>
      <c r="W2" s="266"/>
      <c r="X2" s="267"/>
    </row>
    <row r="3" spans="1:24" s="138" customFormat="1" ht="22" customHeight="1" x14ac:dyDescent="0.55000000000000004">
      <c r="A3" s="139"/>
      <c r="B3" s="140"/>
      <c r="C3" s="140"/>
      <c r="D3" s="140"/>
      <c r="E3" s="140"/>
      <c r="F3" s="140"/>
      <c r="G3" s="140"/>
      <c r="H3" s="141"/>
      <c r="I3" s="289"/>
      <c r="J3" s="265" t="s">
        <v>21</v>
      </c>
      <c r="K3" s="266"/>
      <c r="L3" s="266"/>
      <c r="M3" s="266"/>
      <c r="N3" s="266"/>
      <c r="O3" s="265" t="s">
        <v>22</v>
      </c>
      <c r="P3" s="266"/>
      <c r="Q3" s="266"/>
      <c r="R3" s="267"/>
      <c r="S3" s="269"/>
      <c r="T3" s="269"/>
      <c r="U3" s="269"/>
      <c r="V3" s="269"/>
      <c r="W3" s="269"/>
      <c r="X3" s="270"/>
    </row>
    <row r="4" spans="1:24" s="138" customFormat="1" ht="32.15" customHeight="1" x14ac:dyDescent="0.55000000000000004">
      <c r="A4" s="285" t="str">
        <f>IF(入力表!D6="","",入力表!D6)</f>
        <v/>
      </c>
      <c r="B4" s="286"/>
      <c r="C4" s="286"/>
      <c r="D4" s="286"/>
      <c r="E4" s="286"/>
      <c r="F4" s="286"/>
      <c r="G4" s="286"/>
      <c r="H4" s="287"/>
      <c r="I4" s="289"/>
      <c r="J4" s="273"/>
      <c r="K4" s="269"/>
      <c r="L4" s="269"/>
      <c r="M4" s="269"/>
      <c r="N4" s="269"/>
      <c r="O4" s="273"/>
      <c r="P4" s="269"/>
      <c r="Q4" s="269"/>
      <c r="R4" s="270"/>
      <c r="S4" s="269"/>
      <c r="T4" s="269"/>
      <c r="U4" s="269"/>
      <c r="V4" s="269"/>
      <c r="W4" s="269"/>
      <c r="X4" s="270"/>
    </row>
    <row r="5" spans="1:24" s="138" customFormat="1" ht="32.15" customHeight="1" x14ac:dyDescent="0.55000000000000004">
      <c r="A5" s="282" t="s">
        <v>19</v>
      </c>
      <c r="B5" s="283"/>
      <c r="C5" s="283"/>
      <c r="D5" s="283"/>
      <c r="E5" s="283"/>
      <c r="F5" s="283"/>
      <c r="G5" s="283"/>
      <c r="H5" s="284"/>
      <c r="I5" s="290"/>
      <c r="J5" s="274"/>
      <c r="K5" s="271"/>
      <c r="L5" s="271"/>
      <c r="M5" s="271"/>
      <c r="N5" s="271"/>
      <c r="O5" s="274"/>
      <c r="P5" s="271"/>
      <c r="Q5" s="271"/>
      <c r="R5" s="272"/>
      <c r="S5" s="271"/>
      <c r="T5" s="271"/>
      <c r="U5" s="271"/>
      <c r="V5" s="271"/>
      <c r="W5" s="271"/>
      <c r="X5" s="272"/>
    </row>
    <row r="6" spans="1:24" s="138" customFormat="1" ht="37" customHeight="1" x14ac:dyDescent="0.55000000000000004">
      <c r="A6" s="303" t="s">
        <v>13</v>
      </c>
      <c r="B6" s="304"/>
      <c r="C6" s="309" t="s">
        <v>14</v>
      </c>
      <c r="D6" s="310"/>
      <c r="E6" s="310"/>
      <c r="F6" s="310"/>
      <c r="G6" s="310"/>
      <c r="H6" s="311"/>
      <c r="I6" s="293" t="str">
        <f>IF(入力表!D7="","",入力表!D7)</f>
        <v/>
      </c>
      <c r="J6" s="278"/>
      <c r="K6" s="278"/>
      <c r="L6" s="278"/>
      <c r="M6" s="278"/>
      <c r="N6" s="278"/>
      <c r="O6" s="278"/>
      <c r="P6" s="278"/>
      <c r="Q6" s="278"/>
      <c r="R6" s="278"/>
      <c r="S6" s="278"/>
      <c r="T6" s="278"/>
      <c r="U6" s="278"/>
      <c r="V6" s="278"/>
      <c r="W6" s="278"/>
      <c r="X6" s="279"/>
    </row>
    <row r="7" spans="1:24" s="138" customFormat="1" ht="37" customHeight="1" x14ac:dyDescent="0.55000000000000004">
      <c r="A7" s="305"/>
      <c r="B7" s="306"/>
      <c r="C7" s="312" t="s">
        <v>15</v>
      </c>
      <c r="D7" s="313"/>
      <c r="E7" s="313"/>
      <c r="F7" s="313"/>
      <c r="G7" s="313"/>
      <c r="H7" s="314"/>
      <c r="I7" s="294" t="str">
        <f>IF(入力表!D8="","",入力表!D8)</f>
        <v/>
      </c>
      <c r="J7" s="295"/>
      <c r="K7" s="295"/>
      <c r="L7" s="295"/>
      <c r="M7" s="295"/>
      <c r="N7" s="295"/>
      <c r="O7" s="295"/>
      <c r="P7" s="295"/>
      <c r="Q7" s="295"/>
      <c r="R7" s="295"/>
      <c r="S7" s="295"/>
      <c r="T7" s="295"/>
      <c r="U7" s="295"/>
      <c r="V7" s="295"/>
      <c r="W7" s="295"/>
      <c r="X7" s="296"/>
    </row>
    <row r="8" spans="1:24" s="138" customFormat="1" ht="37" customHeight="1" x14ac:dyDescent="0.55000000000000004">
      <c r="A8" s="305"/>
      <c r="B8" s="306"/>
      <c r="C8" s="315" t="s">
        <v>16</v>
      </c>
      <c r="D8" s="316"/>
      <c r="E8" s="316"/>
      <c r="F8" s="316"/>
      <c r="G8" s="316"/>
      <c r="H8" s="317"/>
      <c r="I8" s="142" t="str">
        <f>IF(入力表!$K$9=12,"",MID(入力表!D9,1,1))</f>
        <v/>
      </c>
      <c r="J8" s="143" t="str">
        <f>IF(入力表!$K$9=12,MID(入力表!D9,1,1),MID(入力表!D9,2,1))</f>
        <v/>
      </c>
      <c r="K8" s="144" t="str">
        <f>IF(入力表!$K$9=12,MID(入力表!D9,2,1),MID(入力表!D9,3,1))</f>
        <v/>
      </c>
      <c r="L8" s="144" t="str">
        <f>IF(入力表!$K$9=12,MID(入力表!D9,3,1),MID(入力表!D9,4,1))</f>
        <v/>
      </c>
      <c r="M8" s="145" t="str">
        <f>IF(入力表!$K$9=12,MID(入力表!D9,4,1),MID(入力表!D9,5,1))</f>
        <v/>
      </c>
      <c r="N8" s="275" t="str">
        <f>IF(入力表!$K$9=12,MID(入力表!D9,5,1),MID(入力表!D9,6,1))</f>
        <v/>
      </c>
      <c r="O8" s="292"/>
      <c r="P8" s="144" t="str">
        <f>IF(入力表!$K$9=12,MID(入力表!D9,6,1),MID(入力表!D9,7,1))</f>
        <v/>
      </c>
      <c r="Q8" s="291" t="str">
        <f>IF(入力表!$K$9=12,MID(入力表!D9,7,1),MID(入力表!D9,8,1))</f>
        <v/>
      </c>
      <c r="R8" s="276"/>
      <c r="S8" s="292"/>
      <c r="T8" s="145" t="str">
        <f>IF(入力表!$K$9=12,MID(入力表!D9,8,1),MID(入力表!D9,9,1))</f>
        <v/>
      </c>
      <c r="U8" s="143" t="str">
        <f>IF(入力表!$K$9=12,MID(入力表!D9,9,1),MID(入力表!D9,10,1))</f>
        <v/>
      </c>
      <c r="V8" s="144" t="str">
        <f>IF(入力表!$K$9=12,MID(入力表!D9,10,1),MID(入力表!D9,11,1))</f>
        <v/>
      </c>
      <c r="W8" s="144" t="str">
        <f>IF(入力表!$K$9=12,MID(入力表!D9,11,1),MID(入力表!D9,12,1))</f>
        <v/>
      </c>
      <c r="X8" s="145" t="str">
        <f>IF(入力表!$K$9=12,MID(入力表!D9,12,1),MID(入力表!D9,13,1))</f>
        <v/>
      </c>
    </row>
    <row r="9" spans="1:24" s="138" customFormat="1" ht="37" customHeight="1" x14ac:dyDescent="0.55000000000000004">
      <c r="A9" s="303" t="s">
        <v>12</v>
      </c>
      <c r="B9" s="304"/>
      <c r="C9" s="300" t="s">
        <v>9</v>
      </c>
      <c r="D9" s="301"/>
      <c r="E9" s="301"/>
      <c r="F9" s="301"/>
      <c r="G9" s="301"/>
      <c r="H9" s="302"/>
      <c r="I9" s="278" t="str">
        <f>IF(入力表!D10="","",入力表!D10)</f>
        <v/>
      </c>
      <c r="J9" s="278"/>
      <c r="K9" s="278"/>
      <c r="L9" s="278"/>
      <c r="M9" s="278"/>
      <c r="N9" s="278"/>
      <c r="O9" s="278"/>
      <c r="P9" s="278"/>
      <c r="Q9" s="278"/>
      <c r="R9" s="278"/>
      <c r="S9" s="278"/>
      <c r="T9" s="278"/>
      <c r="U9" s="278"/>
      <c r="V9" s="278"/>
      <c r="W9" s="278"/>
      <c r="X9" s="279"/>
    </row>
    <row r="10" spans="1:24" s="138" customFormat="1" ht="37" customHeight="1" x14ac:dyDescent="0.55000000000000004">
      <c r="A10" s="305"/>
      <c r="B10" s="306"/>
      <c r="C10" s="300" t="s">
        <v>10</v>
      </c>
      <c r="D10" s="301"/>
      <c r="E10" s="301"/>
      <c r="F10" s="301"/>
      <c r="G10" s="301"/>
      <c r="H10" s="302"/>
      <c r="I10" s="278" t="str">
        <f>IF(入力表!D11="","",入力表!D11)</f>
        <v/>
      </c>
      <c r="J10" s="278"/>
      <c r="K10" s="278"/>
      <c r="L10" s="278"/>
      <c r="M10" s="278"/>
      <c r="N10" s="278"/>
      <c r="O10" s="278"/>
      <c r="P10" s="278"/>
      <c r="Q10" s="278"/>
      <c r="R10" s="278"/>
      <c r="S10" s="278"/>
      <c r="T10" s="278"/>
      <c r="U10" s="278"/>
      <c r="V10" s="278"/>
      <c r="W10" s="278"/>
      <c r="X10" s="279"/>
    </row>
    <row r="11" spans="1:24" s="138" customFormat="1" ht="37" customHeight="1" x14ac:dyDescent="0.55000000000000004">
      <c r="A11" s="307"/>
      <c r="B11" s="308"/>
      <c r="C11" s="297" t="s">
        <v>11</v>
      </c>
      <c r="D11" s="298"/>
      <c r="E11" s="298"/>
      <c r="F11" s="298"/>
      <c r="G11" s="298"/>
      <c r="H11" s="299"/>
      <c r="I11" s="280" t="str">
        <f>IF(入力表!D12="","",入力表!D12)</f>
        <v/>
      </c>
      <c r="J11" s="280"/>
      <c r="K11" s="280"/>
      <c r="L11" s="280"/>
      <c r="M11" s="280"/>
      <c r="N11" s="280"/>
      <c r="O11" s="280"/>
      <c r="P11" s="280"/>
      <c r="Q11" s="280"/>
      <c r="R11" s="280"/>
      <c r="S11" s="280"/>
      <c r="T11" s="280"/>
      <c r="U11" s="280"/>
      <c r="V11" s="280"/>
      <c r="W11" s="280"/>
      <c r="X11" s="281"/>
    </row>
    <row r="12" spans="1:24" s="138" customFormat="1" ht="27" customHeight="1" x14ac:dyDescent="0.55000000000000004">
      <c r="A12" s="265" t="s">
        <v>29</v>
      </c>
      <c r="B12" s="266"/>
      <c r="C12" s="266"/>
      <c r="D12" s="265" t="s">
        <v>8</v>
      </c>
      <c r="E12" s="266"/>
      <c r="F12" s="266"/>
      <c r="G12" s="266"/>
      <c r="H12" s="266"/>
      <c r="I12" s="266"/>
      <c r="J12" s="266"/>
      <c r="K12" s="265" t="s">
        <v>17</v>
      </c>
      <c r="L12" s="266"/>
      <c r="M12" s="267"/>
      <c r="N12" s="266" t="s">
        <v>30</v>
      </c>
      <c r="O12" s="266"/>
      <c r="P12" s="266"/>
      <c r="Q12" s="267"/>
      <c r="R12" s="266" t="s">
        <v>18</v>
      </c>
      <c r="S12" s="266"/>
      <c r="T12" s="266"/>
      <c r="U12" s="266"/>
      <c r="V12" s="266"/>
      <c r="W12" s="266"/>
      <c r="X12" s="267"/>
    </row>
    <row r="13" spans="1:24" s="138" customFormat="1" ht="27" customHeight="1" x14ac:dyDescent="0.55000000000000004">
      <c r="A13" s="139"/>
      <c r="B13" s="140"/>
      <c r="C13" s="140"/>
      <c r="D13" s="245" t="s">
        <v>2</v>
      </c>
      <c r="E13" s="246"/>
      <c r="F13" s="246"/>
      <c r="G13" s="246"/>
      <c r="H13" s="246"/>
      <c r="I13" s="246"/>
      <c r="J13" s="246"/>
      <c r="K13" s="247">
        <f>月計表①!C39</f>
        <v>0</v>
      </c>
      <c r="L13" s="248"/>
      <c r="M13" s="249"/>
      <c r="N13" s="250">
        <v>100</v>
      </c>
      <c r="O13" s="250"/>
      <c r="P13" s="250"/>
      <c r="Q13" s="251"/>
      <c r="R13" s="252">
        <f>K13*N13</f>
        <v>0</v>
      </c>
      <c r="S13" s="252"/>
      <c r="T13" s="252"/>
      <c r="U13" s="252"/>
      <c r="V13" s="252"/>
      <c r="W13" s="252"/>
      <c r="X13" s="146" t="s">
        <v>25</v>
      </c>
    </row>
    <row r="14" spans="1:24" s="138" customFormat="1" ht="27" customHeight="1" x14ac:dyDescent="0.55000000000000004">
      <c r="A14" s="139" t="s">
        <v>0</v>
      </c>
      <c r="B14" s="147" t="str">
        <f>月計表①!C5</f>
        <v/>
      </c>
      <c r="C14" s="140" t="s">
        <v>1</v>
      </c>
      <c r="D14" s="253" t="s">
        <v>3</v>
      </c>
      <c r="E14" s="254"/>
      <c r="F14" s="254"/>
      <c r="G14" s="254"/>
      <c r="H14" s="254"/>
      <c r="I14" s="254"/>
      <c r="J14" s="254"/>
      <c r="K14" s="255">
        <f>月計表①!D39</f>
        <v>0</v>
      </c>
      <c r="L14" s="256"/>
      <c r="M14" s="257"/>
      <c r="N14" s="258">
        <v>200</v>
      </c>
      <c r="O14" s="258"/>
      <c r="P14" s="258"/>
      <c r="Q14" s="259"/>
      <c r="R14" s="260">
        <f t="shared" ref="R14:R15" si="0">K14*N14</f>
        <v>0</v>
      </c>
      <c r="S14" s="260"/>
      <c r="T14" s="260"/>
      <c r="U14" s="260"/>
      <c r="V14" s="260"/>
      <c r="W14" s="260"/>
      <c r="X14" s="148" t="s">
        <v>25</v>
      </c>
    </row>
    <row r="15" spans="1:24" s="138" customFormat="1" ht="27" customHeight="1" x14ac:dyDescent="0.55000000000000004">
      <c r="A15" s="139"/>
      <c r="B15" s="140"/>
      <c r="C15" s="140"/>
      <c r="D15" s="245" t="s">
        <v>4</v>
      </c>
      <c r="E15" s="246"/>
      <c r="F15" s="246"/>
      <c r="G15" s="246"/>
      <c r="H15" s="246"/>
      <c r="I15" s="246"/>
      <c r="J15" s="246"/>
      <c r="K15" s="247">
        <f>月計表①!E39</f>
        <v>0</v>
      </c>
      <c r="L15" s="248"/>
      <c r="M15" s="249"/>
      <c r="N15" s="250">
        <v>500</v>
      </c>
      <c r="O15" s="250"/>
      <c r="P15" s="250"/>
      <c r="Q15" s="251"/>
      <c r="R15" s="252">
        <f t="shared" si="0"/>
        <v>0</v>
      </c>
      <c r="S15" s="252"/>
      <c r="T15" s="252"/>
      <c r="U15" s="252"/>
      <c r="V15" s="252"/>
      <c r="W15" s="252"/>
      <c r="X15" s="146" t="s">
        <v>25</v>
      </c>
    </row>
    <row r="16" spans="1:24" s="138" customFormat="1" ht="27" customHeight="1" x14ac:dyDescent="0.55000000000000004">
      <c r="A16" s="139"/>
      <c r="B16" s="149" t="str">
        <f>月計表①!D5</f>
        <v/>
      </c>
      <c r="C16" s="140" t="s">
        <v>7</v>
      </c>
      <c r="D16" s="253" t="s">
        <v>5</v>
      </c>
      <c r="E16" s="254"/>
      <c r="F16" s="254"/>
      <c r="G16" s="254"/>
      <c r="H16" s="254"/>
      <c r="I16" s="254"/>
      <c r="J16" s="254"/>
      <c r="K16" s="261">
        <f>SUM(K13:M15)</f>
        <v>0</v>
      </c>
      <c r="L16" s="260"/>
      <c r="M16" s="262"/>
      <c r="N16" s="263"/>
      <c r="O16" s="263"/>
      <c r="P16" s="263"/>
      <c r="Q16" s="264"/>
      <c r="R16" s="260">
        <f>SUM(R13:W15)</f>
        <v>0</v>
      </c>
      <c r="S16" s="268"/>
      <c r="T16" s="268"/>
      <c r="U16" s="268"/>
      <c r="V16" s="268"/>
      <c r="W16" s="268"/>
      <c r="X16" s="148" t="s">
        <v>25</v>
      </c>
    </row>
    <row r="17" spans="1:24" s="138" customFormat="1" ht="27" customHeight="1" x14ac:dyDescent="0.55000000000000004">
      <c r="A17" s="150"/>
      <c r="B17" s="151"/>
      <c r="C17" s="151"/>
      <c r="D17" s="238" t="s">
        <v>6</v>
      </c>
      <c r="E17" s="239"/>
      <c r="F17" s="239"/>
      <c r="G17" s="239"/>
      <c r="H17" s="239"/>
      <c r="I17" s="239"/>
      <c r="J17" s="239"/>
      <c r="K17" s="240" t="str">
        <f>月計表①!F39</f>
        <v/>
      </c>
      <c r="L17" s="241"/>
      <c r="M17" s="242"/>
      <c r="N17" s="243"/>
      <c r="O17" s="243"/>
      <c r="P17" s="243"/>
      <c r="Q17" s="244"/>
      <c r="R17" s="243"/>
      <c r="S17" s="243"/>
      <c r="T17" s="243"/>
      <c r="U17" s="243"/>
      <c r="V17" s="243"/>
      <c r="W17" s="243"/>
      <c r="X17" s="244"/>
    </row>
    <row r="18" spans="1:24" s="138" customFormat="1" ht="27" customHeight="1" x14ac:dyDescent="0.55000000000000004">
      <c r="A18" s="139"/>
      <c r="B18" s="140"/>
      <c r="C18" s="140"/>
      <c r="D18" s="245" t="s">
        <v>2</v>
      </c>
      <c r="E18" s="246"/>
      <c r="F18" s="246"/>
      <c r="G18" s="246"/>
      <c r="H18" s="246"/>
      <c r="I18" s="246"/>
      <c r="J18" s="246"/>
      <c r="K18" s="247">
        <f>月計表②!C39</f>
        <v>0</v>
      </c>
      <c r="L18" s="248"/>
      <c r="M18" s="249"/>
      <c r="N18" s="250">
        <v>100</v>
      </c>
      <c r="O18" s="250"/>
      <c r="P18" s="250"/>
      <c r="Q18" s="251"/>
      <c r="R18" s="252">
        <f>K18*N18</f>
        <v>0</v>
      </c>
      <c r="S18" s="252"/>
      <c r="T18" s="252"/>
      <c r="U18" s="252"/>
      <c r="V18" s="252"/>
      <c r="W18" s="252"/>
      <c r="X18" s="146" t="s">
        <v>25</v>
      </c>
    </row>
    <row r="19" spans="1:24" s="138" customFormat="1" ht="27" customHeight="1" x14ac:dyDescent="0.55000000000000004">
      <c r="A19" s="139" t="s">
        <v>0</v>
      </c>
      <c r="B19" s="147" t="str">
        <f>月計表②!C5</f>
        <v/>
      </c>
      <c r="C19" s="140" t="s">
        <v>1</v>
      </c>
      <c r="D19" s="253" t="s">
        <v>3</v>
      </c>
      <c r="E19" s="254"/>
      <c r="F19" s="254"/>
      <c r="G19" s="254"/>
      <c r="H19" s="254"/>
      <c r="I19" s="254"/>
      <c r="J19" s="254"/>
      <c r="K19" s="255">
        <f>月計表②!D39</f>
        <v>0</v>
      </c>
      <c r="L19" s="256"/>
      <c r="M19" s="257"/>
      <c r="N19" s="258">
        <v>200</v>
      </c>
      <c r="O19" s="258"/>
      <c r="P19" s="258"/>
      <c r="Q19" s="259"/>
      <c r="R19" s="260">
        <f t="shared" ref="R19:R20" si="1">K19*N19</f>
        <v>0</v>
      </c>
      <c r="S19" s="260"/>
      <c r="T19" s="260"/>
      <c r="U19" s="260"/>
      <c r="V19" s="260"/>
      <c r="W19" s="260"/>
      <c r="X19" s="148" t="s">
        <v>25</v>
      </c>
    </row>
    <row r="20" spans="1:24" s="138" customFormat="1" ht="27" customHeight="1" x14ac:dyDescent="0.55000000000000004">
      <c r="A20" s="139"/>
      <c r="C20" s="140"/>
      <c r="D20" s="245" t="s">
        <v>4</v>
      </c>
      <c r="E20" s="246"/>
      <c r="F20" s="246"/>
      <c r="G20" s="246"/>
      <c r="H20" s="246"/>
      <c r="I20" s="246"/>
      <c r="J20" s="246"/>
      <c r="K20" s="247">
        <f>月計表②!E39</f>
        <v>0</v>
      </c>
      <c r="L20" s="248"/>
      <c r="M20" s="249"/>
      <c r="N20" s="250">
        <v>500</v>
      </c>
      <c r="O20" s="250"/>
      <c r="P20" s="250"/>
      <c r="Q20" s="251"/>
      <c r="R20" s="252">
        <f t="shared" si="1"/>
        <v>0</v>
      </c>
      <c r="S20" s="252"/>
      <c r="T20" s="252"/>
      <c r="U20" s="252"/>
      <c r="V20" s="252"/>
      <c r="W20" s="252"/>
      <c r="X20" s="146" t="s">
        <v>25</v>
      </c>
    </row>
    <row r="21" spans="1:24" s="138" customFormat="1" ht="27" customHeight="1" x14ac:dyDescent="0.55000000000000004">
      <c r="A21" s="139"/>
      <c r="B21" s="149" t="str">
        <f>月計表②!D5</f>
        <v/>
      </c>
      <c r="C21" s="140" t="s">
        <v>7</v>
      </c>
      <c r="D21" s="253" t="s">
        <v>5</v>
      </c>
      <c r="E21" s="254"/>
      <c r="F21" s="254"/>
      <c r="G21" s="254"/>
      <c r="H21" s="254"/>
      <c r="I21" s="254"/>
      <c r="J21" s="254"/>
      <c r="K21" s="261">
        <f>SUM(K18:M20)</f>
        <v>0</v>
      </c>
      <c r="L21" s="260"/>
      <c r="M21" s="262"/>
      <c r="N21" s="263"/>
      <c r="O21" s="263"/>
      <c r="P21" s="263"/>
      <c r="Q21" s="264"/>
      <c r="R21" s="260">
        <f>SUM(R18:W20)</f>
        <v>0</v>
      </c>
      <c r="S21" s="268"/>
      <c r="T21" s="268"/>
      <c r="U21" s="268"/>
      <c r="V21" s="268"/>
      <c r="W21" s="268"/>
      <c r="X21" s="148" t="s">
        <v>25</v>
      </c>
    </row>
    <row r="22" spans="1:24" s="138" customFormat="1" ht="27" customHeight="1" x14ac:dyDescent="0.55000000000000004">
      <c r="A22" s="150"/>
      <c r="B22" s="151"/>
      <c r="C22" s="151"/>
      <c r="D22" s="238" t="s">
        <v>6</v>
      </c>
      <c r="E22" s="239"/>
      <c r="F22" s="239"/>
      <c r="G22" s="239"/>
      <c r="H22" s="239"/>
      <c r="I22" s="239"/>
      <c r="J22" s="239"/>
      <c r="K22" s="240" t="str">
        <f>月計表②!F39</f>
        <v/>
      </c>
      <c r="L22" s="241"/>
      <c r="M22" s="242"/>
      <c r="N22" s="243"/>
      <c r="O22" s="243"/>
      <c r="P22" s="243"/>
      <c r="Q22" s="244"/>
      <c r="R22" s="243"/>
      <c r="S22" s="243"/>
      <c r="T22" s="243"/>
      <c r="U22" s="243"/>
      <c r="V22" s="243"/>
      <c r="W22" s="243"/>
      <c r="X22" s="244"/>
    </row>
    <row r="23" spans="1:24" s="138" customFormat="1" ht="27" customHeight="1" x14ac:dyDescent="0.55000000000000004">
      <c r="A23" s="139"/>
      <c r="B23" s="140"/>
      <c r="C23" s="140"/>
      <c r="D23" s="245" t="s">
        <v>2</v>
      </c>
      <c r="E23" s="246"/>
      <c r="F23" s="246"/>
      <c r="G23" s="246"/>
      <c r="H23" s="246"/>
      <c r="I23" s="246"/>
      <c r="J23" s="246"/>
      <c r="K23" s="247">
        <f>月計表③!C39</f>
        <v>0</v>
      </c>
      <c r="L23" s="248"/>
      <c r="M23" s="249"/>
      <c r="N23" s="250">
        <v>100</v>
      </c>
      <c r="O23" s="250"/>
      <c r="P23" s="250"/>
      <c r="Q23" s="251"/>
      <c r="R23" s="252">
        <f>K23*N23</f>
        <v>0</v>
      </c>
      <c r="S23" s="252"/>
      <c r="T23" s="252"/>
      <c r="U23" s="252"/>
      <c r="V23" s="252"/>
      <c r="W23" s="252"/>
      <c r="X23" s="146" t="s">
        <v>25</v>
      </c>
    </row>
    <row r="24" spans="1:24" s="138" customFormat="1" ht="27" customHeight="1" x14ac:dyDescent="0.55000000000000004">
      <c r="A24" s="139" t="s">
        <v>0</v>
      </c>
      <c r="B24" s="147" t="str">
        <f>月計表③!C5</f>
        <v/>
      </c>
      <c r="C24" s="140" t="s">
        <v>1</v>
      </c>
      <c r="D24" s="253" t="s">
        <v>3</v>
      </c>
      <c r="E24" s="254"/>
      <c r="F24" s="254"/>
      <c r="G24" s="254"/>
      <c r="H24" s="254"/>
      <c r="I24" s="254"/>
      <c r="J24" s="254"/>
      <c r="K24" s="255">
        <f>月計表③!D39</f>
        <v>0</v>
      </c>
      <c r="L24" s="256"/>
      <c r="M24" s="257"/>
      <c r="N24" s="258">
        <v>200</v>
      </c>
      <c r="O24" s="258"/>
      <c r="P24" s="258"/>
      <c r="Q24" s="259"/>
      <c r="R24" s="260">
        <f t="shared" ref="R24:R25" si="2">K24*N24</f>
        <v>0</v>
      </c>
      <c r="S24" s="260"/>
      <c r="T24" s="260"/>
      <c r="U24" s="260"/>
      <c r="V24" s="260"/>
      <c r="W24" s="260"/>
      <c r="X24" s="148" t="s">
        <v>25</v>
      </c>
    </row>
    <row r="25" spans="1:24" s="138" customFormat="1" ht="27" customHeight="1" x14ac:dyDescent="0.55000000000000004">
      <c r="A25" s="139"/>
      <c r="C25" s="140"/>
      <c r="D25" s="245" t="s">
        <v>4</v>
      </c>
      <c r="E25" s="246"/>
      <c r="F25" s="246"/>
      <c r="G25" s="246"/>
      <c r="H25" s="246"/>
      <c r="I25" s="246"/>
      <c r="J25" s="246"/>
      <c r="K25" s="247">
        <f>月計表③!E39</f>
        <v>0</v>
      </c>
      <c r="L25" s="248"/>
      <c r="M25" s="249"/>
      <c r="N25" s="250">
        <v>500</v>
      </c>
      <c r="O25" s="250"/>
      <c r="P25" s="250"/>
      <c r="Q25" s="251"/>
      <c r="R25" s="252">
        <f t="shared" si="2"/>
        <v>0</v>
      </c>
      <c r="S25" s="252"/>
      <c r="T25" s="252"/>
      <c r="U25" s="252"/>
      <c r="V25" s="252"/>
      <c r="W25" s="252"/>
      <c r="X25" s="146" t="s">
        <v>25</v>
      </c>
    </row>
    <row r="26" spans="1:24" s="138" customFormat="1" ht="27" customHeight="1" x14ac:dyDescent="0.55000000000000004">
      <c r="A26" s="139"/>
      <c r="B26" s="149" t="str">
        <f>月計表③!D5</f>
        <v/>
      </c>
      <c r="C26" s="140" t="s">
        <v>7</v>
      </c>
      <c r="D26" s="253" t="s">
        <v>5</v>
      </c>
      <c r="E26" s="254"/>
      <c r="F26" s="254"/>
      <c r="G26" s="254"/>
      <c r="H26" s="254"/>
      <c r="I26" s="254"/>
      <c r="J26" s="254"/>
      <c r="K26" s="261">
        <f>SUM(K23:M25)</f>
        <v>0</v>
      </c>
      <c r="L26" s="260"/>
      <c r="M26" s="262"/>
      <c r="N26" s="263"/>
      <c r="O26" s="263"/>
      <c r="P26" s="263"/>
      <c r="Q26" s="264"/>
      <c r="R26" s="260">
        <f>SUM(R23:W25)</f>
        <v>0</v>
      </c>
      <c r="S26" s="268"/>
      <c r="T26" s="268"/>
      <c r="U26" s="268"/>
      <c r="V26" s="268"/>
      <c r="W26" s="268"/>
      <c r="X26" s="148" t="s">
        <v>25</v>
      </c>
    </row>
    <row r="27" spans="1:24" s="138" customFormat="1" ht="27" customHeight="1" x14ac:dyDescent="0.55000000000000004">
      <c r="A27" s="150"/>
      <c r="B27" s="151"/>
      <c r="C27" s="151"/>
      <c r="D27" s="238" t="s">
        <v>6</v>
      </c>
      <c r="E27" s="239"/>
      <c r="F27" s="239"/>
      <c r="G27" s="239"/>
      <c r="H27" s="239"/>
      <c r="I27" s="239"/>
      <c r="J27" s="239"/>
      <c r="K27" s="240" t="str">
        <f>月計表③!F39</f>
        <v/>
      </c>
      <c r="L27" s="241"/>
      <c r="M27" s="242"/>
      <c r="N27" s="243"/>
      <c r="O27" s="243"/>
      <c r="P27" s="243"/>
      <c r="Q27" s="244"/>
      <c r="R27" s="243"/>
      <c r="S27" s="243"/>
      <c r="T27" s="243"/>
      <c r="U27" s="243"/>
      <c r="V27" s="243"/>
      <c r="W27" s="243"/>
      <c r="X27" s="244"/>
    </row>
    <row r="28" spans="1:24" s="138" customFormat="1" ht="27" customHeight="1" x14ac:dyDescent="0.55000000000000004">
      <c r="A28" s="265" t="s">
        <v>26</v>
      </c>
      <c r="B28" s="266"/>
      <c r="C28" s="266"/>
      <c r="D28" s="266"/>
      <c r="E28" s="266"/>
      <c r="F28" s="266"/>
      <c r="G28" s="266"/>
      <c r="H28" s="266"/>
      <c r="I28" s="266"/>
      <c r="J28" s="267"/>
      <c r="K28" s="240" t="str">
        <f>IFERROR(K16+K17+K21+K22+K26+K27,"")</f>
        <v/>
      </c>
      <c r="L28" s="241"/>
      <c r="M28" s="242"/>
      <c r="N28" s="243"/>
      <c r="O28" s="243"/>
      <c r="P28" s="243"/>
      <c r="Q28" s="244"/>
      <c r="R28" s="260">
        <f>R16+R21+R26</f>
        <v>0</v>
      </c>
      <c r="S28" s="268"/>
      <c r="T28" s="268"/>
      <c r="U28" s="268"/>
      <c r="V28" s="268"/>
      <c r="W28" s="268"/>
      <c r="X28" s="148" t="s">
        <v>25</v>
      </c>
    </row>
    <row r="29" spans="1:24" s="138" customFormat="1" ht="27" customHeight="1" x14ac:dyDescent="0.55000000000000004">
      <c r="A29" s="138" t="s">
        <v>28</v>
      </c>
    </row>
    <row r="30" spans="1:24" ht="25" customHeight="1" x14ac:dyDescent="0.55000000000000004"/>
    <row r="31" spans="1:24" ht="25" customHeight="1" x14ac:dyDescent="0.55000000000000004"/>
    <row r="32" spans="1:24" ht="25" customHeight="1" x14ac:dyDescent="0.55000000000000004"/>
    <row r="33" s="134" customFormat="1" ht="25" customHeight="1" x14ac:dyDescent="0.55000000000000004"/>
    <row r="34" s="134" customFormat="1" ht="25" customHeight="1" x14ac:dyDescent="0.55000000000000004"/>
    <row r="35" s="134" customFormat="1" ht="25" customHeight="1" x14ac:dyDescent="0.55000000000000004"/>
    <row r="36" s="134" customFormat="1" ht="25" customHeight="1" x14ac:dyDescent="0.55000000000000004"/>
    <row r="37" s="134" customFormat="1" ht="25" customHeight="1" x14ac:dyDescent="0.55000000000000004"/>
    <row r="38" s="134" customFormat="1" ht="25" customHeight="1" x14ac:dyDescent="0.55000000000000004"/>
  </sheetData>
  <sheetProtection algorithmName="SHA-512" hashValue="xjkQ5YlroIRkGUKwywQNx7uznY02TwEmocYxxM/eldua+EOKcox4J7Ekl703DSiBcGqh0xSK6iR6bWJCrJTSJQ==" saltValue="IMDmw+K9LR1PTWIPshx6Fw==" spinCount="100000" sheet="1" objects="1" formatCells="0" selectLockedCells="1"/>
  <mergeCells count="95">
    <mergeCell ref="A12:C12"/>
    <mergeCell ref="D13:J13"/>
    <mergeCell ref="D17:J17"/>
    <mergeCell ref="D16:J16"/>
    <mergeCell ref="D15:J15"/>
    <mergeCell ref="D14:J14"/>
    <mergeCell ref="D12:J12"/>
    <mergeCell ref="C11:H11"/>
    <mergeCell ref="C10:H10"/>
    <mergeCell ref="C9:H9"/>
    <mergeCell ref="A9:B11"/>
    <mergeCell ref="C6:H6"/>
    <mergeCell ref="C7:H7"/>
    <mergeCell ref="C8:H8"/>
    <mergeCell ref="A6:B8"/>
    <mergeCell ref="A5:H5"/>
    <mergeCell ref="A4:H4"/>
    <mergeCell ref="I2:I5"/>
    <mergeCell ref="J3:N3"/>
    <mergeCell ref="Q8:S8"/>
    <mergeCell ref="I6:X6"/>
    <mergeCell ref="I7:X7"/>
    <mergeCell ref="N8:O8"/>
    <mergeCell ref="R13:W13"/>
    <mergeCell ref="R14:W14"/>
    <mergeCell ref="O3:R3"/>
    <mergeCell ref="S2:X2"/>
    <mergeCell ref="S3:X5"/>
    <mergeCell ref="O4:R5"/>
    <mergeCell ref="N13:Q13"/>
    <mergeCell ref="N14:Q14"/>
    <mergeCell ref="J4:N5"/>
    <mergeCell ref="J2:R2"/>
    <mergeCell ref="K12:M12"/>
    <mergeCell ref="R12:X12"/>
    <mergeCell ref="N12:Q12"/>
    <mergeCell ref="I9:X9"/>
    <mergeCell ref="I10:X10"/>
    <mergeCell ref="I11:X11"/>
    <mergeCell ref="K13:M13"/>
    <mergeCell ref="K14:M14"/>
    <mergeCell ref="K15:M15"/>
    <mergeCell ref="K16:M16"/>
    <mergeCell ref="K17:M17"/>
    <mergeCell ref="R15:W15"/>
    <mergeCell ref="R16:W16"/>
    <mergeCell ref="R17:X17"/>
    <mergeCell ref="D19:J19"/>
    <mergeCell ref="K19:M19"/>
    <mergeCell ref="N19:Q19"/>
    <mergeCell ref="R19:W19"/>
    <mergeCell ref="D18:J18"/>
    <mergeCell ref="K18:M18"/>
    <mergeCell ref="N18:Q18"/>
    <mergeCell ref="R18:W18"/>
    <mergeCell ref="N15:Q15"/>
    <mergeCell ref="N16:Q16"/>
    <mergeCell ref="N17:Q17"/>
    <mergeCell ref="D20:J20"/>
    <mergeCell ref="K20:M20"/>
    <mergeCell ref="N20:Q20"/>
    <mergeCell ref="R20:W20"/>
    <mergeCell ref="R21:W21"/>
    <mergeCell ref="D22:J22"/>
    <mergeCell ref="K22:M22"/>
    <mergeCell ref="N22:Q22"/>
    <mergeCell ref="R22:X22"/>
    <mergeCell ref="A28:J28"/>
    <mergeCell ref="K28:M28"/>
    <mergeCell ref="N28:Q28"/>
    <mergeCell ref="R28:W28"/>
    <mergeCell ref="D25:J25"/>
    <mergeCell ref="K25:M25"/>
    <mergeCell ref="N25:Q25"/>
    <mergeCell ref="R25:W25"/>
    <mergeCell ref="D26:J26"/>
    <mergeCell ref="K26:M26"/>
    <mergeCell ref="N26:Q26"/>
    <mergeCell ref="R26:W26"/>
    <mergeCell ref="A1:X1"/>
    <mergeCell ref="D27:J27"/>
    <mergeCell ref="K27:M27"/>
    <mergeCell ref="N27:Q27"/>
    <mergeCell ref="R27:X27"/>
    <mergeCell ref="D23:J23"/>
    <mergeCell ref="K23:M23"/>
    <mergeCell ref="N23:Q23"/>
    <mergeCell ref="R23:W23"/>
    <mergeCell ref="D24:J24"/>
    <mergeCell ref="K24:M24"/>
    <mergeCell ref="N24:Q24"/>
    <mergeCell ref="R24:W24"/>
    <mergeCell ref="D21:J21"/>
    <mergeCell ref="K21:M21"/>
    <mergeCell ref="N21:Q21"/>
  </mergeCells>
  <phoneticPr fontId="1"/>
  <pageMargins left="0.70866141732283472" right="0.70866141732283472" top="1.1417322834645669" bottom="1.1417322834645669" header="0.31496062992125984" footer="0.31496062992125984"/>
  <pageSetup paperSize="9" scale="77" orientation="portrait" horizontalDpi="300" verticalDpi="300" r:id="rId1"/>
  <headerFooter>
    <oddHeader>&amp;L&amp;"-,太字"別記第２号様式&amp;"BIZ UDP明朝 Medium,標準"（第５条関係）</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B3A2-7119-4001-B4DF-C4AEAD1482A5}">
  <sheetPr>
    <tabColor rgb="FFFFC000"/>
  </sheetPr>
  <dimension ref="A1:CS243"/>
  <sheetViews>
    <sheetView showGridLines="0" zoomScaleNormal="100" zoomScaleSheetLayoutView="190" zoomScalePageLayoutView="175" workbookViewId="0">
      <selection activeCell="R11" sqref="R11:AX15"/>
    </sheetView>
  </sheetViews>
  <sheetFormatPr defaultColWidth="9" defaultRowHeight="9" x14ac:dyDescent="0.55000000000000004"/>
  <cols>
    <col min="1" max="53" width="1.25" style="1" customWidth="1"/>
    <col min="54" max="55" width="1.08203125" style="1" customWidth="1"/>
    <col min="56" max="76" width="1.25" style="1" customWidth="1"/>
    <col min="77" max="77" width="1.33203125" style="1" customWidth="1"/>
    <col min="78" max="78" width="1.58203125" style="1" customWidth="1"/>
    <col min="79" max="79" width="1.33203125" style="1" customWidth="1"/>
    <col min="80" max="80" width="1.08203125" style="1" customWidth="1"/>
    <col min="81" max="81" width="2.75" style="1" hidden="1" customWidth="1"/>
    <col min="82" max="83" width="1.33203125" style="1" hidden="1" customWidth="1"/>
    <col min="84" max="84" width="5.75" style="78" hidden="1" customWidth="1"/>
    <col min="85" max="85" width="11.58203125" style="1" hidden="1" customWidth="1"/>
    <col min="86" max="86" width="5.25" style="1" hidden="1" customWidth="1"/>
    <col min="87" max="95" width="2.58203125" style="1" hidden="1" customWidth="1"/>
    <col min="96" max="96" width="3.58203125" style="1" hidden="1" customWidth="1"/>
    <col min="97" max="99" width="3.58203125" style="1" customWidth="1"/>
    <col min="100" max="124" width="1.33203125" style="1" customWidth="1"/>
    <col min="125" max="16384" width="9" style="1"/>
  </cols>
  <sheetData>
    <row r="1" spans="1:97" x14ac:dyDescent="0.55000000000000004">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R1" s="152"/>
      <c r="CS1" s="152"/>
    </row>
    <row r="2" spans="1:97" ht="9" customHeight="1" x14ac:dyDescent="0.55000000000000004">
      <c r="A2" s="153"/>
      <c r="B2" s="2"/>
      <c r="C2" s="2"/>
      <c r="D2" s="2"/>
      <c r="E2" s="378" t="s">
        <v>48</v>
      </c>
      <c r="F2" s="378"/>
      <c r="G2" s="378"/>
      <c r="H2" s="378"/>
      <c r="I2" s="378"/>
      <c r="J2" s="2"/>
      <c r="K2" s="379" t="s">
        <v>49</v>
      </c>
      <c r="L2" s="379"/>
      <c r="M2" s="379"/>
      <c r="N2" s="379"/>
      <c r="O2" s="379"/>
      <c r="P2" s="3">
        <v>0</v>
      </c>
      <c r="Q2" s="3">
        <v>1</v>
      </c>
      <c r="R2" s="3">
        <v>0</v>
      </c>
      <c r="S2" s="3">
        <v>0</v>
      </c>
      <c r="T2" s="3">
        <v>0</v>
      </c>
      <c r="U2" s="3">
        <v>6</v>
      </c>
      <c r="V2" s="2"/>
      <c r="W2" s="2"/>
      <c r="X2" s="2"/>
      <c r="Y2" s="380" t="s">
        <v>50</v>
      </c>
      <c r="Z2" s="380"/>
      <c r="AA2" s="380"/>
      <c r="AB2" s="380"/>
      <c r="AC2" s="380"/>
      <c r="AD2" s="380"/>
      <c r="AE2" s="380"/>
      <c r="AF2" s="380"/>
      <c r="AG2" s="380"/>
      <c r="AH2" s="380"/>
      <c r="AI2" s="380"/>
      <c r="AJ2" s="380"/>
      <c r="AK2" s="380"/>
      <c r="AL2" s="380"/>
      <c r="AM2" s="380"/>
      <c r="AN2" s="380"/>
      <c r="AO2" s="380"/>
      <c r="AP2" s="380"/>
      <c r="AQ2" s="380"/>
      <c r="AR2" s="380"/>
      <c r="AS2" s="380"/>
      <c r="AT2" s="380"/>
      <c r="AU2" s="380"/>
      <c r="AV2" s="380"/>
      <c r="AW2" s="380"/>
      <c r="AX2" s="380"/>
      <c r="AY2" s="380"/>
      <c r="AZ2" s="4"/>
      <c r="BA2" s="381" t="s">
        <v>51</v>
      </c>
      <c r="BB2" s="381"/>
      <c r="BC2" s="381"/>
      <c r="BD2" s="4"/>
      <c r="BE2" s="4"/>
      <c r="BF2" s="2"/>
      <c r="BG2" s="2"/>
      <c r="BH2" s="2"/>
      <c r="BI2" s="2"/>
      <c r="BJ2" s="2"/>
      <c r="BK2" s="2"/>
      <c r="BL2" s="2"/>
      <c r="BM2" s="2"/>
      <c r="BN2" s="2"/>
      <c r="BO2" s="2"/>
      <c r="BP2" s="2"/>
      <c r="BQ2" s="2"/>
      <c r="BR2" s="2"/>
      <c r="BS2" s="2"/>
      <c r="BT2" s="2"/>
      <c r="BU2" s="382"/>
      <c r="BV2" s="383"/>
      <c r="BW2" s="383"/>
      <c r="BX2" s="383"/>
      <c r="BY2" s="383"/>
      <c r="BZ2" s="383"/>
      <c r="CA2" s="383"/>
      <c r="CB2" s="154"/>
      <c r="CC2" s="153"/>
      <c r="CR2" s="152"/>
      <c r="CS2" s="152"/>
    </row>
    <row r="3" spans="1:97" ht="9" customHeight="1" x14ac:dyDescent="0.4">
      <c r="A3" s="153"/>
      <c r="B3" s="2"/>
      <c r="C3" s="2"/>
      <c r="D3" s="2"/>
      <c r="E3" s="378"/>
      <c r="F3" s="378"/>
      <c r="G3" s="378"/>
      <c r="H3" s="378"/>
      <c r="I3" s="378"/>
      <c r="J3" s="2"/>
      <c r="K3" s="5"/>
      <c r="L3" s="6"/>
      <c r="M3" s="6"/>
      <c r="N3" s="6"/>
      <c r="O3" s="7"/>
      <c r="P3" s="2"/>
      <c r="Q3" s="2"/>
      <c r="R3" s="2"/>
      <c r="S3" s="2"/>
      <c r="T3" s="2"/>
      <c r="U3" s="2"/>
      <c r="V3" s="2"/>
      <c r="W3" s="2"/>
      <c r="X3" s="2"/>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380"/>
      <c r="AW3" s="380"/>
      <c r="AX3" s="380"/>
      <c r="AY3" s="380"/>
      <c r="AZ3" s="4"/>
      <c r="BA3" s="381"/>
      <c r="BB3" s="381"/>
      <c r="BC3" s="381"/>
      <c r="BD3" s="4"/>
      <c r="BE3" s="4"/>
      <c r="BF3" s="2"/>
      <c r="BG3" s="2"/>
      <c r="BH3" s="2"/>
      <c r="BI3" s="2"/>
      <c r="BJ3" s="2"/>
      <c r="BK3" s="2"/>
      <c r="BL3" s="2"/>
      <c r="BM3" s="2"/>
      <c r="BN3" s="2"/>
      <c r="BO3" s="2"/>
      <c r="BP3" s="2"/>
      <c r="BQ3" s="2"/>
      <c r="BR3" s="2"/>
      <c r="BS3" s="2"/>
      <c r="BT3" s="2"/>
      <c r="BU3" s="8"/>
      <c r="BV3" s="9"/>
      <c r="BW3" s="9"/>
      <c r="BX3" s="9"/>
      <c r="BY3" s="9"/>
      <c r="BZ3" s="9"/>
      <c r="CA3" s="9"/>
      <c r="CB3" s="154"/>
      <c r="CC3" s="153"/>
      <c r="CR3" s="152"/>
      <c r="CS3" s="152"/>
    </row>
    <row r="4" spans="1:97" ht="10.5" customHeight="1" x14ac:dyDescent="0.55000000000000004">
      <c r="A4" s="153"/>
      <c r="B4" s="2"/>
      <c r="C4" s="2"/>
      <c r="D4" s="2"/>
      <c r="E4" s="384" t="s">
        <v>53</v>
      </c>
      <c r="F4" s="385"/>
      <c r="G4" s="385"/>
      <c r="H4" s="385"/>
      <c r="I4" s="385"/>
      <c r="J4" s="386"/>
      <c r="K4" s="387" t="s">
        <v>672</v>
      </c>
      <c r="L4" s="388"/>
      <c r="M4" s="388"/>
      <c r="N4" s="389"/>
      <c r="O4" s="390" t="s">
        <v>54</v>
      </c>
      <c r="P4" s="385"/>
      <c r="Q4" s="385"/>
      <c r="R4" s="385"/>
      <c r="S4" s="385"/>
      <c r="T4" s="385"/>
      <c r="U4" s="385"/>
      <c r="V4" s="385"/>
      <c r="W4" s="391"/>
      <c r="X4" s="384" t="s">
        <v>55</v>
      </c>
      <c r="Y4" s="385"/>
      <c r="Z4" s="385"/>
      <c r="AA4" s="385"/>
      <c r="AB4" s="385"/>
      <c r="AC4" s="385"/>
      <c r="AD4" s="385"/>
      <c r="AE4" s="385"/>
      <c r="AF4" s="385"/>
      <c r="AG4" s="385"/>
      <c r="AH4" s="385"/>
      <c r="AI4" s="391"/>
      <c r="AJ4" s="400" t="s">
        <v>673</v>
      </c>
      <c r="AK4" s="401"/>
      <c r="AL4" s="401"/>
      <c r="AM4" s="401"/>
      <c r="AN4" s="177"/>
      <c r="AO4" s="401" t="s">
        <v>674</v>
      </c>
      <c r="AP4" s="401"/>
      <c r="AQ4" s="401"/>
      <c r="AR4" s="401"/>
      <c r="AS4" s="401"/>
      <c r="AT4" s="401"/>
      <c r="AU4" s="402"/>
      <c r="AV4" s="392" t="s">
        <v>56</v>
      </c>
      <c r="AW4" s="393"/>
      <c r="AX4" s="393"/>
      <c r="AY4" s="393"/>
      <c r="AZ4" s="393"/>
      <c r="BA4" s="393"/>
      <c r="BB4" s="393"/>
      <c r="BC4" s="393"/>
      <c r="BD4" s="393"/>
      <c r="BE4" s="393"/>
      <c r="BF4" s="393"/>
      <c r="BG4" s="393"/>
      <c r="BH4" s="393"/>
      <c r="BI4" s="393"/>
      <c r="BJ4" s="393"/>
      <c r="BK4" s="394"/>
      <c r="BL4" s="395" t="s">
        <v>57</v>
      </c>
      <c r="BM4" s="396"/>
      <c r="BN4" s="396"/>
      <c r="BO4" s="396"/>
      <c r="BP4" s="397" t="s">
        <v>58</v>
      </c>
      <c r="BQ4" s="398"/>
      <c r="BR4" s="398"/>
      <c r="BS4" s="398"/>
      <c r="BT4" s="398"/>
      <c r="BU4" s="398"/>
      <c r="BV4" s="398"/>
      <c r="BW4" s="398"/>
      <c r="BX4" s="398"/>
      <c r="BY4" s="398"/>
      <c r="BZ4" s="398"/>
      <c r="CA4" s="399"/>
      <c r="CB4" s="155"/>
      <c r="CC4" s="153"/>
      <c r="CF4" s="82" t="s">
        <v>629</v>
      </c>
      <c r="CG4" s="83"/>
      <c r="CR4" s="152"/>
      <c r="CS4" s="152"/>
    </row>
    <row r="5" spans="1:97" ht="15" customHeight="1" x14ac:dyDescent="0.55000000000000004">
      <c r="A5" s="403" t="s">
        <v>59</v>
      </c>
      <c r="B5" s="403"/>
      <c r="C5" s="403"/>
      <c r="D5" s="403"/>
      <c r="E5" s="404">
        <f>IF(入力表!I15="",入力表!E15,入力表!I15)</f>
        <v>0</v>
      </c>
      <c r="F5" s="405"/>
      <c r="G5" s="405"/>
      <c r="H5" s="405"/>
      <c r="I5" s="405"/>
      <c r="J5" s="406"/>
      <c r="K5" s="407" t="s">
        <v>60</v>
      </c>
      <c r="L5" s="408"/>
      <c r="M5" s="408"/>
      <c r="N5" s="409"/>
      <c r="O5" s="410">
        <f>IF(入力表!J16="",入力表!F16,入力表!J16)</f>
        <v>0</v>
      </c>
      <c r="P5" s="411"/>
      <c r="Q5" s="411"/>
      <c r="R5" s="411"/>
      <c r="S5" s="411"/>
      <c r="T5" s="411"/>
      <c r="U5" s="411"/>
      <c r="V5" s="411"/>
      <c r="W5" s="412"/>
      <c r="X5" s="413" t="s">
        <v>61</v>
      </c>
      <c r="Y5" s="414"/>
      <c r="Z5" s="414"/>
      <c r="AA5" s="414"/>
      <c r="AB5" s="414"/>
      <c r="AC5" s="414"/>
      <c r="AD5" s="414"/>
      <c r="AE5" s="414"/>
      <c r="AF5" s="414"/>
      <c r="AG5" s="414"/>
      <c r="AH5" s="414"/>
      <c r="AI5" s="415"/>
      <c r="AJ5" s="416" t="s">
        <v>62</v>
      </c>
      <c r="AK5" s="417"/>
      <c r="AL5" s="417"/>
      <c r="AM5" s="417"/>
      <c r="AN5" s="417"/>
      <c r="AO5" s="417"/>
      <c r="AP5" s="417"/>
      <c r="AQ5" s="417"/>
      <c r="AR5" s="417"/>
      <c r="AS5" s="417"/>
      <c r="AT5" s="417"/>
      <c r="AU5" s="418"/>
      <c r="AV5" s="419" t="e">
        <f>VLOOKUP(BL5,$CF$5:$CI$27,2,0)</f>
        <v>#N/A</v>
      </c>
      <c r="AW5" s="420"/>
      <c r="AX5" s="420"/>
      <c r="AY5" s="420"/>
      <c r="AZ5" s="420"/>
      <c r="BA5" s="420"/>
      <c r="BB5" s="420"/>
      <c r="BC5" s="420"/>
      <c r="BD5" s="420"/>
      <c r="BE5" s="420"/>
      <c r="BF5" s="420"/>
      <c r="BG5" s="420"/>
      <c r="BH5" s="420"/>
      <c r="BI5" s="420"/>
      <c r="BJ5" s="420"/>
      <c r="BK5" s="421"/>
      <c r="BL5" s="422" t="str">
        <f>ASC(MID(入力表!D12,1,3))</f>
        <v/>
      </c>
      <c r="BM5" s="423"/>
      <c r="BN5" s="423"/>
      <c r="BO5" s="423"/>
      <c r="BP5" s="340" t="str">
        <f>ASC(MID(入力表!D12,4,9))</f>
        <v/>
      </c>
      <c r="BQ5" s="341"/>
      <c r="BR5" s="341"/>
      <c r="BS5" s="341"/>
      <c r="BT5" s="341"/>
      <c r="BU5" s="341"/>
      <c r="BV5" s="341"/>
      <c r="BW5" s="341"/>
      <c r="BX5" s="341"/>
      <c r="BY5" s="341"/>
      <c r="BZ5" s="341"/>
      <c r="CA5" s="342"/>
      <c r="CB5" s="156"/>
      <c r="CC5" s="153"/>
      <c r="CF5" s="82" t="s">
        <v>609</v>
      </c>
      <c r="CG5" s="83" t="s">
        <v>541</v>
      </c>
      <c r="CR5" s="152"/>
      <c r="CS5" s="152"/>
    </row>
    <row r="6" spans="1:97" ht="15" customHeight="1" x14ac:dyDescent="0.55000000000000004">
      <c r="A6" s="403"/>
      <c r="B6" s="403"/>
      <c r="C6" s="403"/>
      <c r="D6" s="403"/>
      <c r="E6" s="424"/>
      <c r="F6" s="363"/>
      <c r="G6" s="363"/>
      <c r="H6" s="363"/>
      <c r="I6" s="363"/>
      <c r="J6" s="363"/>
      <c r="K6" s="363"/>
      <c r="L6" s="363"/>
      <c r="M6" s="363"/>
      <c r="N6" s="363"/>
      <c r="O6" s="425"/>
      <c r="P6" s="431"/>
      <c r="Q6" s="432"/>
      <c r="R6" s="432"/>
      <c r="S6" s="432"/>
      <c r="T6" s="432"/>
      <c r="U6" s="432"/>
      <c r="V6" s="432"/>
      <c r="W6" s="432"/>
      <c r="X6" s="433"/>
      <c r="Y6" s="433"/>
      <c r="Z6" s="433"/>
      <c r="AA6" s="433"/>
      <c r="AB6" s="433"/>
      <c r="AC6" s="433"/>
      <c r="AD6" s="433"/>
      <c r="AE6" s="433"/>
      <c r="AF6" s="433"/>
      <c r="AG6" s="433"/>
      <c r="AH6" s="433"/>
      <c r="AI6" s="433"/>
      <c r="AJ6" s="432"/>
      <c r="AK6" s="432"/>
      <c r="AL6" s="432"/>
      <c r="AM6" s="432"/>
      <c r="AN6" s="432"/>
      <c r="AO6" s="432"/>
      <c r="AP6" s="432"/>
      <c r="AQ6" s="432"/>
      <c r="AR6" s="432"/>
      <c r="AS6" s="432"/>
      <c r="AT6" s="432"/>
      <c r="AU6" s="432"/>
      <c r="AV6" s="432"/>
      <c r="AW6" s="432"/>
      <c r="AX6" s="432"/>
      <c r="AY6" s="432"/>
      <c r="AZ6" s="432"/>
      <c r="BA6" s="434"/>
      <c r="BB6" s="441" t="s">
        <v>63</v>
      </c>
      <c r="BC6" s="442"/>
      <c r="BD6" s="442"/>
      <c r="BE6" s="442"/>
      <c r="BF6" s="442"/>
      <c r="BG6" s="442"/>
      <c r="BH6" s="443"/>
      <c r="BI6" s="343" t="s">
        <v>64</v>
      </c>
      <c r="BJ6" s="344"/>
      <c r="BK6" s="344"/>
      <c r="BL6" s="344"/>
      <c r="BM6" s="344"/>
      <c r="BN6" s="344"/>
      <c r="BO6" s="344"/>
      <c r="BP6" s="344"/>
      <c r="BQ6" s="344"/>
      <c r="BR6" s="344"/>
      <c r="BS6" s="344"/>
      <c r="BT6" s="344"/>
      <c r="BU6" s="344"/>
      <c r="BV6" s="344"/>
      <c r="BW6" s="344"/>
      <c r="BX6" s="344"/>
      <c r="BY6" s="344"/>
      <c r="BZ6" s="344"/>
      <c r="CA6" s="345"/>
      <c r="CB6" s="157"/>
      <c r="CC6" s="153"/>
      <c r="CF6" s="82" t="s">
        <v>610</v>
      </c>
      <c r="CG6" s="83" t="s">
        <v>544</v>
      </c>
      <c r="CR6" s="152"/>
      <c r="CS6" s="152"/>
    </row>
    <row r="7" spans="1:97" s="176" customFormat="1" ht="7" customHeight="1" x14ac:dyDescent="0.55000000000000004">
      <c r="A7" s="403"/>
      <c r="B7" s="403"/>
      <c r="C7" s="403"/>
      <c r="D7" s="403"/>
      <c r="E7" s="426"/>
      <c r="F7" s="320"/>
      <c r="G7" s="320"/>
      <c r="H7" s="320"/>
      <c r="I7" s="320"/>
      <c r="J7" s="320"/>
      <c r="K7" s="320"/>
      <c r="L7" s="320"/>
      <c r="M7" s="320"/>
      <c r="N7" s="320"/>
      <c r="O7" s="427"/>
      <c r="P7" s="435"/>
      <c r="Q7" s="436"/>
      <c r="R7" s="436"/>
      <c r="S7" s="436"/>
      <c r="T7" s="436"/>
      <c r="U7" s="436"/>
      <c r="V7" s="436"/>
      <c r="W7" s="436"/>
      <c r="X7" s="433"/>
      <c r="Y7" s="433"/>
      <c r="Z7" s="433"/>
      <c r="AA7" s="433"/>
      <c r="AB7" s="433"/>
      <c r="AC7" s="433"/>
      <c r="AD7" s="433"/>
      <c r="AE7" s="433"/>
      <c r="AF7" s="433"/>
      <c r="AG7" s="433"/>
      <c r="AH7" s="433"/>
      <c r="AI7" s="433"/>
      <c r="AJ7" s="436"/>
      <c r="AK7" s="436"/>
      <c r="AL7" s="436"/>
      <c r="AM7" s="436"/>
      <c r="AN7" s="436"/>
      <c r="AO7" s="436"/>
      <c r="AP7" s="436"/>
      <c r="AQ7" s="436"/>
      <c r="AR7" s="436"/>
      <c r="AS7" s="436"/>
      <c r="AT7" s="436"/>
      <c r="AU7" s="436"/>
      <c r="AV7" s="436"/>
      <c r="AW7" s="436"/>
      <c r="AX7" s="436"/>
      <c r="AY7" s="436"/>
      <c r="AZ7" s="436"/>
      <c r="BA7" s="437"/>
      <c r="BB7" s="573" t="s">
        <v>65</v>
      </c>
      <c r="BC7" s="574"/>
      <c r="BD7" s="574"/>
      <c r="BE7" s="574"/>
      <c r="BF7" s="574"/>
      <c r="BG7" s="574"/>
      <c r="BH7" s="575"/>
      <c r="BI7" s="179"/>
      <c r="BJ7" s="180"/>
      <c r="BK7" s="180"/>
      <c r="BL7" s="181"/>
      <c r="BM7" s="182" t="s">
        <v>641</v>
      </c>
      <c r="BN7" s="183"/>
      <c r="BO7" s="182" t="s">
        <v>640</v>
      </c>
      <c r="BP7" s="183"/>
      <c r="BQ7" s="182" t="s">
        <v>639</v>
      </c>
      <c r="BR7" s="183"/>
      <c r="BS7" s="182" t="s">
        <v>642</v>
      </c>
      <c r="BT7" s="183"/>
      <c r="BU7" s="182" t="s">
        <v>641</v>
      </c>
      <c r="BV7" s="183"/>
      <c r="BW7" s="182" t="s">
        <v>640</v>
      </c>
      <c r="BX7" s="183"/>
      <c r="BY7" s="182" t="s">
        <v>639</v>
      </c>
      <c r="BZ7" s="183"/>
      <c r="CA7" s="184" t="s">
        <v>25</v>
      </c>
      <c r="CB7" s="157"/>
      <c r="CC7" s="153"/>
      <c r="CF7" s="82"/>
      <c r="CG7" s="83"/>
      <c r="CR7" s="152"/>
      <c r="CS7" s="152"/>
    </row>
    <row r="8" spans="1:97" ht="9.5" customHeight="1" x14ac:dyDescent="0.55000000000000004">
      <c r="A8" s="403"/>
      <c r="B8" s="403"/>
      <c r="C8" s="403"/>
      <c r="D8" s="403"/>
      <c r="E8" s="426"/>
      <c r="F8" s="428"/>
      <c r="G8" s="428"/>
      <c r="H8" s="428"/>
      <c r="I8" s="428"/>
      <c r="J8" s="428"/>
      <c r="K8" s="428"/>
      <c r="L8" s="428"/>
      <c r="M8" s="428"/>
      <c r="N8" s="428"/>
      <c r="O8" s="427"/>
      <c r="P8" s="435"/>
      <c r="Q8" s="433"/>
      <c r="R8" s="433"/>
      <c r="S8" s="433"/>
      <c r="T8" s="433"/>
      <c r="U8" s="433"/>
      <c r="V8" s="433"/>
      <c r="W8" s="433"/>
      <c r="X8" s="433"/>
      <c r="Y8" s="433"/>
      <c r="Z8" s="433"/>
      <c r="AA8" s="433"/>
      <c r="AB8" s="433"/>
      <c r="AC8" s="433"/>
      <c r="AD8" s="433"/>
      <c r="AE8" s="433"/>
      <c r="AF8" s="433"/>
      <c r="AG8" s="433"/>
      <c r="AH8" s="433"/>
      <c r="AI8" s="433"/>
      <c r="AJ8" s="433"/>
      <c r="AK8" s="433"/>
      <c r="AL8" s="433"/>
      <c r="AM8" s="433"/>
      <c r="AN8" s="433"/>
      <c r="AO8" s="433"/>
      <c r="AP8" s="433"/>
      <c r="AQ8" s="433"/>
      <c r="AR8" s="433"/>
      <c r="AS8" s="433"/>
      <c r="AT8" s="433"/>
      <c r="AU8" s="433"/>
      <c r="AV8" s="433"/>
      <c r="AW8" s="433"/>
      <c r="AX8" s="433"/>
      <c r="AY8" s="433"/>
      <c r="AZ8" s="433"/>
      <c r="BA8" s="437"/>
      <c r="BB8" s="429"/>
      <c r="BC8" s="366"/>
      <c r="BD8" s="366"/>
      <c r="BE8" s="366"/>
      <c r="BF8" s="366"/>
      <c r="BG8" s="366"/>
      <c r="BH8" s="367"/>
      <c r="BI8" s="458"/>
      <c r="BJ8" s="459"/>
      <c r="BK8" s="337"/>
      <c r="BL8" s="323" t="str">
        <f>$CJ$31</f>
        <v/>
      </c>
      <c r="BM8" s="337"/>
      <c r="BN8" s="323" t="str">
        <f>$CK$31</f>
        <v/>
      </c>
      <c r="BO8" s="339"/>
      <c r="BP8" s="336" t="str">
        <f>$CL$31</f>
        <v/>
      </c>
      <c r="BQ8" s="337"/>
      <c r="BR8" s="323" t="str">
        <f>$CM$31</f>
        <v/>
      </c>
      <c r="BS8" s="337"/>
      <c r="BT8" s="323" t="str">
        <f>$CN$31</f>
        <v/>
      </c>
      <c r="BU8" s="339"/>
      <c r="BV8" s="336" t="str">
        <f>$CO$31</f>
        <v/>
      </c>
      <c r="BW8" s="337"/>
      <c r="BX8" s="323" t="str">
        <f>$CP$31</f>
        <v/>
      </c>
      <c r="BY8" s="337"/>
      <c r="BZ8" s="323" t="str">
        <f>$CQ$31</f>
        <v>0</v>
      </c>
      <c r="CA8" s="324"/>
      <c r="CB8" s="157"/>
      <c r="CC8" s="153"/>
      <c r="CF8" s="82" t="s">
        <v>611</v>
      </c>
      <c r="CG8" s="83" t="s">
        <v>547</v>
      </c>
      <c r="CR8" s="152"/>
      <c r="CS8" s="152"/>
    </row>
    <row r="9" spans="1:97" ht="7.5" customHeight="1" x14ac:dyDescent="0.2">
      <c r="A9" s="403"/>
      <c r="B9" s="403"/>
      <c r="C9" s="403"/>
      <c r="D9" s="403"/>
      <c r="E9" s="426"/>
      <c r="F9" s="428"/>
      <c r="G9" s="428"/>
      <c r="H9" s="428"/>
      <c r="I9" s="428"/>
      <c r="J9" s="428"/>
      <c r="K9" s="428"/>
      <c r="L9" s="428"/>
      <c r="M9" s="428"/>
      <c r="N9" s="428"/>
      <c r="O9" s="427"/>
      <c r="P9" s="438"/>
      <c r="Q9" s="439"/>
      <c r="R9" s="439"/>
      <c r="S9" s="439"/>
      <c r="T9" s="439"/>
      <c r="U9" s="439"/>
      <c r="V9" s="439"/>
      <c r="W9" s="439"/>
      <c r="X9" s="439"/>
      <c r="Y9" s="439"/>
      <c r="Z9" s="439"/>
      <c r="AA9" s="439"/>
      <c r="AB9" s="439"/>
      <c r="AC9" s="439"/>
      <c r="AD9" s="439"/>
      <c r="AE9" s="439"/>
      <c r="AF9" s="439"/>
      <c r="AG9" s="439"/>
      <c r="AH9" s="439"/>
      <c r="AI9" s="439"/>
      <c r="AJ9" s="439"/>
      <c r="AK9" s="439"/>
      <c r="AL9" s="439"/>
      <c r="AM9" s="439"/>
      <c r="AN9" s="439"/>
      <c r="AO9" s="439"/>
      <c r="AP9" s="439"/>
      <c r="AQ9" s="439"/>
      <c r="AR9" s="439"/>
      <c r="AS9" s="439"/>
      <c r="AT9" s="439"/>
      <c r="AU9" s="439"/>
      <c r="AV9" s="439"/>
      <c r="AW9" s="439"/>
      <c r="AX9" s="439"/>
      <c r="AY9" s="439"/>
      <c r="AZ9" s="439"/>
      <c r="BA9" s="440"/>
      <c r="BB9" s="424" t="s">
        <v>66</v>
      </c>
      <c r="BC9" s="363"/>
      <c r="BD9" s="363"/>
      <c r="BE9" s="363"/>
      <c r="BF9" s="363"/>
      <c r="BG9" s="363"/>
      <c r="BH9" s="364"/>
      <c r="BI9" s="370" t="str">
        <f>$CI$33</f>
        <v/>
      </c>
      <c r="BJ9" s="371"/>
      <c r="BK9" s="347"/>
      <c r="BL9" s="331" t="str">
        <f>$CJ$33</f>
        <v/>
      </c>
      <c r="BM9" s="347"/>
      <c r="BN9" s="331" t="str">
        <f>$CK$33</f>
        <v/>
      </c>
      <c r="BO9" s="332"/>
      <c r="BP9" s="335" t="str">
        <f>$CL$33</f>
        <v/>
      </c>
      <c r="BQ9" s="325"/>
      <c r="BR9" s="321" t="str">
        <f>$CM$33</f>
        <v/>
      </c>
      <c r="BS9" s="325"/>
      <c r="BT9" s="321" t="str">
        <f>$CN$33</f>
        <v/>
      </c>
      <c r="BU9" s="338"/>
      <c r="BV9" s="335" t="str">
        <f>$CO$33</f>
        <v/>
      </c>
      <c r="BW9" s="325"/>
      <c r="BX9" s="321" t="str">
        <f>$CP$33</f>
        <v/>
      </c>
      <c r="BY9" s="325"/>
      <c r="BZ9" s="321" t="str">
        <f>$CQ$33</f>
        <v>0</v>
      </c>
      <c r="CA9" s="322"/>
      <c r="CB9" s="158"/>
      <c r="CC9" s="153"/>
      <c r="CF9" s="82" t="s">
        <v>612</v>
      </c>
      <c r="CG9" s="83" t="s">
        <v>550</v>
      </c>
      <c r="CR9" s="152"/>
      <c r="CS9" s="152"/>
    </row>
    <row r="10" spans="1:97" ht="7.5" customHeight="1" x14ac:dyDescent="0.2">
      <c r="A10" s="403"/>
      <c r="B10" s="403"/>
      <c r="C10" s="403"/>
      <c r="D10" s="403"/>
      <c r="E10" s="426"/>
      <c r="F10" s="428"/>
      <c r="G10" s="428"/>
      <c r="H10" s="428"/>
      <c r="I10" s="428"/>
      <c r="J10" s="428"/>
      <c r="K10" s="428"/>
      <c r="L10" s="428"/>
      <c r="M10" s="428"/>
      <c r="N10" s="428"/>
      <c r="O10" s="427"/>
      <c r="P10" s="10" t="s">
        <v>67</v>
      </c>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c r="BB10" s="429"/>
      <c r="BC10" s="366"/>
      <c r="BD10" s="366"/>
      <c r="BE10" s="366"/>
      <c r="BF10" s="366"/>
      <c r="BG10" s="366"/>
      <c r="BH10" s="367"/>
      <c r="BI10" s="372"/>
      <c r="BJ10" s="373"/>
      <c r="BK10" s="374"/>
      <c r="BL10" s="333"/>
      <c r="BM10" s="374"/>
      <c r="BN10" s="333"/>
      <c r="BO10" s="334"/>
      <c r="BP10" s="336"/>
      <c r="BQ10" s="337"/>
      <c r="BR10" s="323"/>
      <c r="BS10" s="337"/>
      <c r="BT10" s="323"/>
      <c r="BU10" s="339"/>
      <c r="BV10" s="336"/>
      <c r="BW10" s="337"/>
      <c r="BX10" s="323"/>
      <c r="BY10" s="337"/>
      <c r="BZ10" s="323"/>
      <c r="CA10" s="324"/>
      <c r="CB10" s="158"/>
      <c r="CC10" s="153"/>
      <c r="CF10" s="82" t="s">
        <v>613</v>
      </c>
      <c r="CG10" s="83" t="s">
        <v>600</v>
      </c>
      <c r="CR10" s="152"/>
      <c r="CS10" s="152"/>
    </row>
    <row r="11" spans="1:97" ht="15" customHeight="1" x14ac:dyDescent="0.2">
      <c r="A11" s="403"/>
      <c r="B11" s="403"/>
      <c r="C11" s="403"/>
      <c r="D11" s="403"/>
      <c r="E11" s="426"/>
      <c r="F11" s="428"/>
      <c r="G11" s="428"/>
      <c r="H11" s="428"/>
      <c r="I11" s="428"/>
      <c r="J11" s="428"/>
      <c r="K11" s="428"/>
      <c r="L11" s="428"/>
      <c r="M11" s="428"/>
      <c r="N11" s="428"/>
      <c r="O11" s="427"/>
      <c r="P11" s="13"/>
      <c r="Q11" s="14"/>
      <c r="R11" s="444" t="str">
        <f>IF(入力表!D7="","",入力表!D7)</f>
        <v/>
      </c>
      <c r="S11" s="444"/>
      <c r="T11" s="444"/>
      <c r="U11" s="444"/>
      <c r="V11" s="444"/>
      <c r="W11" s="444"/>
      <c r="X11" s="444"/>
      <c r="Y11" s="444"/>
      <c r="Z11" s="444"/>
      <c r="AA11" s="444"/>
      <c r="AB11" s="444"/>
      <c r="AC11" s="444"/>
      <c r="AD11" s="444"/>
      <c r="AE11" s="444"/>
      <c r="AF11" s="444"/>
      <c r="AG11" s="444"/>
      <c r="AH11" s="444"/>
      <c r="AI11" s="444"/>
      <c r="AJ11" s="444"/>
      <c r="AK11" s="444"/>
      <c r="AL11" s="444"/>
      <c r="AM11" s="444"/>
      <c r="AN11" s="444"/>
      <c r="AO11" s="444"/>
      <c r="AP11" s="444"/>
      <c r="AQ11" s="444"/>
      <c r="AR11" s="444"/>
      <c r="AS11" s="444"/>
      <c r="AT11" s="444"/>
      <c r="AU11" s="444"/>
      <c r="AV11" s="444"/>
      <c r="AW11" s="444"/>
      <c r="AX11" s="444"/>
      <c r="AY11" s="14"/>
      <c r="AZ11" s="14"/>
      <c r="BA11" s="15"/>
      <c r="BB11" s="445" t="s">
        <v>68</v>
      </c>
      <c r="BC11" s="446"/>
      <c r="BD11" s="448" t="s">
        <v>69</v>
      </c>
      <c r="BE11" s="448"/>
      <c r="BF11" s="449"/>
      <c r="BG11" s="449"/>
      <c r="BH11" s="450"/>
      <c r="BI11" s="375" t="str">
        <f>$CI$34</f>
        <v/>
      </c>
      <c r="BJ11" s="376"/>
      <c r="BK11" s="377"/>
      <c r="BL11" s="352" t="str">
        <f>$CJ$34</f>
        <v/>
      </c>
      <c r="BM11" s="377"/>
      <c r="BN11" s="352" t="str">
        <f>$CK$34</f>
        <v/>
      </c>
      <c r="BO11" s="353"/>
      <c r="BP11" s="354" t="str">
        <f>$CL$34</f>
        <v/>
      </c>
      <c r="BQ11" s="355"/>
      <c r="BR11" s="356" t="str">
        <f>$CM$34</f>
        <v/>
      </c>
      <c r="BS11" s="355"/>
      <c r="BT11" s="356" t="str">
        <f>$CN$34</f>
        <v/>
      </c>
      <c r="BU11" s="357"/>
      <c r="BV11" s="354" t="str">
        <f>$CO$34</f>
        <v/>
      </c>
      <c r="BW11" s="355"/>
      <c r="BX11" s="356" t="str">
        <f>$CP$34</f>
        <v/>
      </c>
      <c r="BY11" s="355"/>
      <c r="BZ11" s="356" t="str">
        <f>CQ34</f>
        <v>0</v>
      </c>
      <c r="CA11" s="540"/>
      <c r="CB11" s="158"/>
      <c r="CC11" s="153"/>
      <c r="CF11" s="82" t="s">
        <v>614</v>
      </c>
      <c r="CG11" s="83" t="s">
        <v>556</v>
      </c>
      <c r="CR11" s="152"/>
      <c r="CS11" s="152"/>
    </row>
    <row r="12" spans="1:97" ht="7.5" customHeight="1" x14ac:dyDescent="0.2">
      <c r="A12" s="403"/>
      <c r="B12" s="403"/>
      <c r="C12" s="403"/>
      <c r="D12" s="403"/>
      <c r="E12" s="429"/>
      <c r="F12" s="366"/>
      <c r="G12" s="366"/>
      <c r="H12" s="366"/>
      <c r="I12" s="366"/>
      <c r="J12" s="366"/>
      <c r="K12" s="366"/>
      <c r="L12" s="366"/>
      <c r="M12" s="366"/>
      <c r="N12" s="366"/>
      <c r="O12" s="430"/>
      <c r="P12" s="13"/>
      <c r="Q12" s="14"/>
      <c r="R12" s="444"/>
      <c r="S12" s="444"/>
      <c r="T12" s="444"/>
      <c r="U12" s="444"/>
      <c r="V12" s="444"/>
      <c r="W12" s="444"/>
      <c r="X12" s="444"/>
      <c r="Y12" s="444"/>
      <c r="Z12" s="444"/>
      <c r="AA12" s="444"/>
      <c r="AB12" s="444"/>
      <c r="AC12" s="444"/>
      <c r="AD12" s="444"/>
      <c r="AE12" s="444"/>
      <c r="AF12" s="444"/>
      <c r="AG12" s="444"/>
      <c r="AH12" s="444"/>
      <c r="AI12" s="444"/>
      <c r="AJ12" s="444"/>
      <c r="AK12" s="444"/>
      <c r="AL12" s="444"/>
      <c r="AM12" s="444"/>
      <c r="AN12" s="444"/>
      <c r="AO12" s="444"/>
      <c r="AP12" s="444"/>
      <c r="AQ12" s="444"/>
      <c r="AR12" s="444"/>
      <c r="AS12" s="444"/>
      <c r="AT12" s="444"/>
      <c r="AU12" s="444"/>
      <c r="AV12" s="444"/>
      <c r="AW12" s="444"/>
      <c r="AX12" s="444"/>
      <c r="AY12" s="14"/>
      <c r="AZ12" s="14"/>
      <c r="BA12" s="15"/>
      <c r="BB12" s="447"/>
      <c r="BC12" s="446"/>
      <c r="BD12" s="362" t="s">
        <v>70</v>
      </c>
      <c r="BE12" s="363"/>
      <c r="BF12" s="363"/>
      <c r="BG12" s="363"/>
      <c r="BH12" s="364"/>
      <c r="BI12" s="370" t="str">
        <f>$CI$35</f>
        <v/>
      </c>
      <c r="BJ12" s="371"/>
      <c r="BK12" s="347"/>
      <c r="BL12" s="331" t="str">
        <f>$CJ$35</f>
        <v/>
      </c>
      <c r="BM12" s="347"/>
      <c r="BN12" s="331" t="str">
        <f>$CK$35</f>
        <v/>
      </c>
      <c r="BO12" s="332"/>
      <c r="BP12" s="335" t="str">
        <f>$CL$35</f>
        <v/>
      </c>
      <c r="BQ12" s="325"/>
      <c r="BR12" s="321" t="str">
        <f>$CM$35</f>
        <v/>
      </c>
      <c r="BS12" s="325"/>
      <c r="BT12" s="321" t="str">
        <f>$CN$35</f>
        <v/>
      </c>
      <c r="BU12" s="338"/>
      <c r="BV12" s="335" t="str">
        <f>$CO$35</f>
        <v/>
      </c>
      <c r="BW12" s="325"/>
      <c r="BX12" s="321" t="str">
        <f>$CP$35</f>
        <v/>
      </c>
      <c r="BY12" s="325"/>
      <c r="BZ12" s="321" t="str">
        <f>$CQ$35</f>
        <v>0</v>
      </c>
      <c r="CA12" s="322"/>
      <c r="CB12" s="158"/>
      <c r="CC12" s="153"/>
      <c r="CF12" s="82" t="s">
        <v>615</v>
      </c>
      <c r="CG12" s="83" t="s">
        <v>601</v>
      </c>
      <c r="CR12" s="152"/>
      <c r="CS12" s="152"/>
    </row>
    <row r="13" spans="1:97" ht="7.5" customHeight="1" x14ac:dyDescent="0.2">
      <c r="A13" s="403"/>
      <c r="B13" s="403"/>
      <c r="C13" s="403"/>
      <c r="D13" s="403"/>
      <c r="E13" s="360" t="s">
        <v>71</v>
      </c>
      <c r="F13" s="361"/>
      <c r="G13" s="361"/>
      <c r="H13" s="361"/>
      <c r="I13" s="361"/>
      <c r="J13" s="361"/>
      <c r="K13" s="361"/>
      <c r="L13" s="361"/>
      <c r="M13" s="361"/>
      <c r="N13" s="361"/>
      <c r="O13" s="361"/>
      <c r="P13" s="13"/>
      <c r="Q13" s="14"/>
      <c r="R13" s="444"/>
      <c r="S13" s="444"/>
      <c r="T13" s="444"/>
      <c r="U13" s="444"/>
      <c r="V13" s="444"/>
      <c r="W13" s="444"/>
      <c r="X13" s="444"/>
      <c r="Y13" s="444"/>
      <c r="Z13" s="444"/>
      <c r="AA13" s="444"/>
      <c r="AB13" s="444"/>
      <c r="AC13" s="444"/>
      <c r="AD13" s="444"/>
      <c r="AE13" s="444"/>
      <c r="AF13" s="444"/>
      <c r="AG13" s="444"/>
      <c r="AH13" s="444"/>
      <c r="AI13" s="444"/>
      <c r="AJ13" s="444"/>
      <c r="AK13" s="444"/>
      <c r="AL13" s="444"/>
      <c r="AM13" s="444"/>
      <c r="AN13" s="444"/>
      <c r="AO13" s="444"/>
      <c r="AP13" s="444"/>
      <c r="AQ13" s="444"/>
      <c r="AR13" s="444"/>
      <c r="AS13" s="444"/>
      <c r="AT13" s="444"/>
      <c r="AU13" s="444"/>
      <c r="AV13" s="444"/>
      <c r="AW13" s="444"/>
      <c r="AX13" s="444"/>
      <c r="AY13" s="14"/>
      <c r="AZ13" s="14"/>
      <c r="BA13" s="15"/>
      <c r="BB13" s="447"/>
      <c r="BC13" s="446"/>
      <c r="BD13" s="365"/>
      <c r="BE13" s="366"/>
      <c r="BF13" s="366"/>
      <c r="BG13" s="366"/>
      <c r="BH13" s="367"/>
      <c r="BI13" s="372"/>
      <c r="BJ13" s="373"/>
      <c r="BK13" s="374"/>
      <c r="BL13" s="333"/>
      <c r="BM13" s="374"/>
      <c r="BN13" s="333"/>
      <c r="BO13" s="334"/>
      <c r="BP13" s="336"/>
      <c r="BQ13" s="337"/>
      <c r="BR13" s="323"/>
      <c r="BS13" s="337"/>
      <c r="BT13" s="323"/>
      <c r="BU13" s="339"/>
      <c r="BV13" s="336"/>
      <c r="BW13" s="337"/>
      <c r="BX13" s="323"/>
      <c r="BY13" s="337"/>
      <c r="BZ13" s="323"/>
      <c r="CA13" s="324"/>
      <c r="CB13" s="158"/>
      <c r="CC13" s="153"/>
      <c r="CF13" s="82" t="s">
        <v>616</v>
      </c>
      <c r="CG13" s="83" t="s">
        <v>562</v>
      </c>
      <c r="CR13" s="152"/>
      <c r="CS13" s="152"/>
    </row>
    <row r="14" spans="1:97" ht="7.5" customHeight="1" x14ac:dyDescent="0.2">
      <c r="A14" s="403"/>
      <c r="B14" s="403"/>
      <c r="C14" s="403"/>
      <c r="D14" s="403"/>
      <c r="E14" s="360" t="s">
        <v>72</v>
      </c>
      <c r="F14" s="361"/>
      <c r="G14" s="361"/>
      <c r="H14" s="361"/>
      <c r="I14" s="361" t="s">
        <v>73</v>
      </c>
      <c r="J14" s="361"/>
      <c r="K14" s="361"/>
      <c r="L14" s="361" t="s">
        <v>74</v>
      </c>
      <c r="M14" s="361"/>
      <c r="N14" s="361"/>
      <c r="O14" s="361"/>
      <c r="P14" s="13"/>
      <c r="Q14" s="1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44"/>
      <c r="AQ14" s="444"/>
      <c r="AR14" s="444"/>
      <c r="AS14" s="444"/>
      <c r="AT14" s="444"/>
      <c r="AU14" s="444"/>
      <c r="AV14" s="444"/>
      <c r="AW14" s="444"/>
      <c r="AX14" s="444"/>
      <c r="AY14" s="14"/>
      <c r="AZ14" s="14"/>
      <c r="BA14" s="15"/>
      <c r="BB14" s="447"/>
      <c r="BC14" s="446"/>
      <c r="BD14" s="362" t="s">
        <v>75</v>
      </c>
      <c r="BE14" s="363"/>
      <c r="BF14" s="363"/>
      <c r="BG14" s="363"/>
      <c r="BH14" s="364"/>
      <c r="BI14" s="370" t="str">
        <f>$CI$36</f>
        <v/>
      </c>
      <c r="BJ14" s="371"/>
      <c r="BK14" s="347"/>
      <c r="BL14" s="331" t="str">
        <f>$CJ$36</f>
        <v/>
      </c>
      <c r="BM14" s="347"/>
      <c r="BN14" s="331" t="str">
        <f>$CK$36</f>
        <v/>
      </c>
      <c r="BO14" s="332"/>
      <c r="BP14" s="335" t="str">
        <f>$CL$36</f>
        <v/>
      </c>
      <c r="BQ14" s="325"/>
      <c r="BR14" s="321" t="str">
        <f>$CM$36</f>
        <v/>
      </c>
      <c r="BS14" s="325"/>
      <c r="BT14" s="321" t="str">
        <f>$CN$36</f>
        <v/>
      </c>
      <c r="BU14" s="338"/>
      <c r="BV14" s="335" t="str">
        <f>$CO$36</f>
        <v/>
      </c>
      <c r="BW14" s="325"/>
      <c r="BX14" s="321" t="str">
        <f>$CP$36</f>
        <v/>
      </c>
      <c r="BY14" s="325"/>
      <c r="BZ14" s="321" t="str">
        <f>$CQ$36</f>
        <v>0</v>
      </c>
      <c r="CA14" s="322"/>
      <c r="CB14" s="158"/>
      <c r="CC14" s="153"/>
      <c r="CF14" s="82" t="s">
        <v>655</v>
      </c>
      <c r="CG14" s="83" t="s">
        <v>602</v>
      </c>
      <c r="CR14" s="152"/>
      <c r="CS14" s="152"/>
    </row>
    <row r="15" spans="1:97" ht="7.5" customHeight="1" x14ac:dyDescent="0.2">
      <c r="A15" s="403"/>
      <c r="B15" s="403"/>
      <c r="C15" s="403"/>
      <c r="D15" s="403"/>
      <c r="E15" s="368" t="s">
        <v>76</v>
      </c>
      <c r="F15" s="369"/>
      <c r="G15" s="369"/>
      <c r="H15" s="369"/>
      <c r="I15" s="369" t="s">
        <v>77</v>
      </c>
      <c r="J15" s="369"/>
      <c r="K15" s="369"/>
      <c r="L15" s="369" t="s">
        <v>78</v>
      </c>
      <c r="M15" s="369"/>
      <c r="N15" s="369"/>
      <c r="O15" s="369"/>
      <c r="P15" s="13"/>
      <c r="Q15" s="14"/>
      <c r="R15" s="444"/>
      <c r="S15" s="444"/>
      <c r="T15" s="444"/>
      <c r="U15" s="444"/>
      <c r="V15" s="444"/>
      <c r="W15" s="444"/>
      <c r="X15" s="444"/>
      <c r="Y15" s="444"/>
      <c r="Z15" s="444"/>
      <c r="AA15" s="444"/>
      <c r="AB15" s="444"/>
      <c r="AC15" s="444"/>
      <c r="AD15" s="444"/>
      <c r="AE15" s="444"/>
      <c r="AF15" s="444"/>
      <c r="AG15" s="444"/>
      <c r="AH15" s="444"/>
      <c r="AI15" s="444"/>
      <c r="AJ15" s="444"/>
      <c r="AK15" s="444"/>
      <c r="AL15" s="444"/>
      <c r="AM15" s="444"/>
      <c r="AN15" s="444"/>
      <c r="AO15" s="444"/>
      <c r="AP15" s="444"/>
      <c r="AQ15" s="444"/>
      <c r="AR15" s="444"/>
      <c r="AS15" s="444"/>
      <c r="AT15" s="444"/>
      <c r="AU15" s="444"/>
      <c r="AV15" s="444"/>
      <c r="AW15" s="444"/>
      <c r="AX15" s="444"/>
      <c r="AY15" s="14"/>
      <c r="AZ15" s="14"/>
      <c r="BA15" s="15"/>
      <c r="BB15" s="447"/>
      <c r="BC15" s="446"/>
      <c r="BD15" s="365"/>
      <c r="BE15" s="366"/>
      <c r="BF15" s="366"/>
      <c r="BG15" s="366"/>
      <c r="BH15" s="367"/>
      <c r="BI15" s="372"/>
      <c r="BJ15" s="373"/>
      <c r="BK15" s="374"/>
      <c r="BL15" s="333"/>
      <c r="BM15" s="374"/>
      <c r="BN15" s="333"/>
      <c r="BO15" s="334"/>
      <c r="BP15" s="336"/>
      <c r="BQ15" s="337"/>
      <c r="BR15" s="323"/>
      <c r="BS15" s="337"/>
      <c r="BT15" s="323"/>
      <c r="BU15" s="339"/>
      <c r="BV15" s="336"/>
      <c r="BW15" s="337"/>
      <c r="BX15" s="323"/>
      <c r="BY15" s="337"/>
      <c r="BZ15" s="323"/>
      <c r="CA15" s="324"/>
      <c r="CB15" s="158"/>
      <c r="CC15" s="153"/>
      <c r="CF15" s="82" t="s">
        <v>617</v>
      </c>
      <c r="CG15" s="83" t="s">
        <v>603</v>
      </c>
      <c r="CR15" s="152"/>
      <c r="CS15" s="152"/>
    </row>
    <row r="16" spans="1:97" ht="7.5" customHeight="1" x14ac:dyDescent="0.2">
      <c r="A16" s="403"/>
      <c r="B16" s="403"/>
      <c r="C16" s="403"/>
      <c r="D16" s="403"/>
      <c r="E16" s="360"/>
      <c r="F16" s="361"/>
      <c r="G16" s="361"/>
      <c r="H16" s="361"/>
      <c r="I16" s="361"/>
      <c r="J16" s="361"/>
      <c r="K16" s="361"/>
      <c r="L16" s="361"/>
      <c r="M16" s="361"/>
      <c r="N16" s="361"/>
      <c r="O16" s="361"/>
      <c r="P16" s="16"/>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8"/>
      <c r="BB16" s="424" t="s">
        <v>79</v>
      </c>
      <c r="BC16" s="363"/>
      <c r="BD16" s="363"/>
      <c r="BE16" s="363"/>
      <c r="BF16" s="363"/>
      <c r="BG16" s="363"/>
      <c r="BH16" s="364"/>
      <c r="BI16" s="370" t="str">
        <f>$CI$37</f>
        <v/>
      </c>
      <c r="BJ16" s="371"/>
      <c r="BK16" s="347"/>
      <c r="BL16" s="331" t="str">
        <f>$CJ$37</f>
        <v/>
      </c>
      <c r="BM16" s="347"/>
      <c r="BN16" s="331" t="str">
        <f>$CK$37</f>
        <v/>
      </c>
      <c r="BO16" s="332"/>
      <c r="BP16" s="346" t="str">
        <f>$CL$37</f>
        <v/>
      </c>
      <c r="BQ16" s="347"/>
      <c r="BR16" s="321" t="str">
        <f>$CM$37</f>
        <v/>
      </c>
      <c r="BS16" s="325"/>
      <c r="BT16" s="321" t="str">
        <f>$CN$37</f>
        <v/>
      </c>
      <c r="BU16" s="338"/>
      <c r="BV16" s="335" t="str">
        <f>$CO$37</f>
        <v/>
      </c>
      <c r="BW16" s="325"/>
      <c r="BX16" s="321" t="str">
        <f>$CP$37</f>
        <v/>
      </c>
      <c r="BY16" s="325"/>
      <c r="BZ16" s="321" t="str">
        <f>$CQ$37</f>
        <v>0</v>
      </c>
      <c r="CA16" s="322"/>
      <c r="CB16" s="158"/>
      <c r="CC16" s="153"/>
      <c r="CF16" s="82" t="s">
        <v>618</v>
      </c>
      <c r="CG16" s="83" t="s">
        <v>570</v>
      </c>
      <c r="CR16" s="152"/>
      <c r="CS16" s="152"/>
    </row>
    <row r="17" spans="1:97" ht="7.5" customHeight="1" x14ac:dyDescent="0.15">
      <c r="A17" s="403"/>
      <c r="B17" s="403"/>
      <c r="C17" s="403"/>
      <c r="D17" s="403"/>
      <c r="E17" s="451"/>
      <c r="F17" s="452"/>
      <c r="G17" s="452"/>
      <c r="H17" s="452"/>
      <c r="I17" s="452"/>
      <c r="J17" s="452"/>
      <c r="K17" s="452"/>
      <c r="L17" s="452"/>
      <c r="M17" s="452"/>
      <c r="N17" s="452"/>
      <c r="O17" s="452"/>
      <c r="P17" s="10" t="s">
        <v>80</v>
      </c>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20"/>
      <c r="BB17" s="454"/>
      <c r="BC17" s="455"/>
      <c r="BD17" s="455"/>
      <c r="BE17" s="455"/>
      <c r="BF17" s="455"/>
      <c r="BG17" s="455"/>
      <c r="BH17" s="456"/>
      <c r="BI17" s="536"/>
      <c r="BJ17" s="537"/>
      <c r="BK17" s="349"/>
      <c r="BL17" s="453"/>
      <c r="BM17" s="349"/>
      <c r="BN17" s="453"/>
      <c r="BO17" s="457"/>
      <c r="BP17" s="348"/>
      <c r="BQ17" s="349"/>
      <c r="BR17" s="326"/>
      <c r="BS17" s="327"/>
      <c r="BT17" s="326"/>
      <c r="BU17" s="350"/>
      <c r="BV17" s="351"/>
      <c r="BW17" s="327"/>
      <c r="BX17" s="326"/>
      <c r="BY17" s="327"/>
      <c r="BZ17" s="326"/>
      <c r="CA17" s="328"/>
      <c r="CB17" s="159"/>
      <c r="CC17" s="153"/>
      <c r="CF17" s="82" t="s">
        <v>619</v>
      </c>
      <c r="CG17" s="83" t="s">
        <v>604</v>
      </c>
      <c r="CR17" s="152"/>
      <c r="CS17" s="152"/>
    </row>
    <row r="18" spans="1:97" ht="15" customHeight="1" x14ac:dyDescent="0.15">
      <c r="A18" s="403"/>
      <c r="B18" s="403"/>
      <c r="C18" s="403"/>
      <c r="D18" s="403"/>
      <c r="E18" s="21"/>
      <c r="F18" s="2"/>
      <c r="G18" s="2"/>
      <c r="H18" s="2"/>
      <c r="I18" s="2"/>
      <c r="J18" s="2"/>
      <c r="K18" s="2"/>
      <c r="L18" s="2"/>
      <c r="M18" s="2"/>
      <c r="N18" s="2"/>
      <c r="O18" s="22"/>
      <c r="P18" s="23"/>
      <c r="Q18" s="24"/>
      <c r="R18" s="460" t="str">
        <f>IF(入力表!D8="","",入力表!D8)</f>
        <v/>
      </c>
      <c r="S18" s="460"/>
      <c r="T18" s="460"/>
      <c r="U18" s="460"/>
      <c r="V18" s="460"/>
      <c r="W18" s="460"/>
      <c r="X18" s="460"/>
      <c r="Y18" s="460"/>
      <c r="Z18" s="460"/>
      <c r="AA18" s="460"/>
      <c r="AB18" s="460"/>
      <c r="AC18" s="460"/>
      <c r="AD18" s="460"/>
      <c r="AE18" s="460"/>
      <c r="AF18" s="460"/>
      <c r="AG18" s="460"/>
      <c r="AH18" s="460"/>
      <c r="AI18" s="460"/>
      <c r="AJ18" s="460"/>
      <c r="AK18" s="460"/>
      <c r="AL18" s="460"/>
      <c r="AM18" s="460"/>
      <c r="AN18" s="460"/>
      <c r="AO18" s="460"/>
      <c r="AP18" s="460"/>
      <c r="AQ18" s="460"/>
      <c r="AR18" s="460"/>
      <c r="AS18" s="460"/>
      <c r="AT18" s="460"/>
      <c r="AU18" s="460"/>
      <c r="AV18" s="460"/>
      <c r="AW18" s="460"/>
      <c r="AX18" s="460"/>
      <c r="AY18" s="24"/>
      <c r="AZ18" s="24"/>
      <c r="BA18" s="25"/>
      <c r="BB18" s="461" t="s">
        <v>81</v>
      </c>
      <c r="BC18" s="462"/>
      <c r="BD18" s="462"/>
      <c r="BE18" s="462"/>
      <c r="BF18" s="462"/>
      <c r="BG18" s="462"/>
      <c r="BH18" s="463"/>
      <c r="BI18" s="464" t="str">
        <f>IF(入力表!D24="","",入力表!D24)</f>
        <v/>
      </c>
      <c r="BJ18" s="465"/>
      <c r="BK18" s="465"/>
      <c r="BL18" s="465"/>
      <c r="BM18" s="465"/>
      <c r="BN18" s="465"/>
      <c r="BO18" s="465"/>
      <c r="BP18" s="465"/>
      <c r="BQ18" s="465"/>
      <c r="BR18" s="465"/>
      <c r="BS18" s="465"/>
      <c r="BT18" s="465"/>
      <c r="BU18" s="465"/>
      <c r="BV18" s="465"/>
      <c r="BW18" s="465"/>
      <c r="BX18" s="465"/>
      <c r="BY18" s="465"/>
      <c r="BZ18" s="465"/>
      <c r="CA18" s="466"/>
      <c r="CB18" s="159"/>
      <c r="CC18" s="153"/>
      <c r="CF18" s="82" t="s">
        <v>620</v>
      </c>
      <c r="CG18" s="83" t="s">
        <v>605</v>
      </c>
      <c r="CR18" s="152"/>
      <c r="CS18" s="152"/>
    </row>
    <row r="19" spans="1:97" ht="9.75" customHeight="1" x14ac:dyDescent="0.55000000000000004">
      <c r="A19" s="403"/>
      <c r="B19" s="403"/>
      <c r="C19" s="403"/>
      <c r="D19" s="403"/>
      <c r="E19" s="21"/>
      <c r="F19" s="2"/>
      <c r="G19" s="2"/>
      <c r="H19" s="2"/>
      <c r="I19" s="2"/>
      <c r="J19" s="2"/>
      <c r="K19" s="2"/>
      <c r="L19" s="2"/>
      <c r="M19" s="2"/>
      <c r="N19" s="2"/>
      <c r="O19" s="2"/>
      <c r="P19" s="26"/>
      <c r="Q19" s="27"/>
      <c r="R19" s="460" t="str">
        <f>IF(入力表!D11="","",入力表!D11)</f>
        <v/>
      </c>
      <c r="S19" s="460"/>
      <c r="T19" s="460"/>
      <c r="U19" s="460"/>
      <c r="V19" s="460"/>
      <c r="W19" s="460"/>
      <c r="X19" s="460"/>
      <c r="Y19" s="460"/>
      <c r="Z19" s="460"/>
      <c r="AA19" s="460"/>
      <c r="AB19" s="460"/>
      <c r="AC19" s="460"/>
      <c r="AD19" s="460"/>
      <c r="AE19" s="460"/>
      <c r="AF19" s="460"/>
      <c r="AG19" s="460"/>
      <c r="AH19" s="460"/>
      <c r="AI19" s="460"/>
      <c r="AJ19" s="460"/>
      <c r="AK19" s="460"/>
      <c r="AL19" s="460"/>
      <c r="AM19" s="460"/>
      <c r="AN19" s="460"/>
      <c r="AO19" s="460"/>
      <c r="AP19" s="460"/>
      <c r="AQ19" s="460"/>
      <c r="AR19" s="460"/>
      <c r="AS19" s="460"/>
      <c r="AT19" s="460"/>
      <c r="AU19" s="460"/>
      <c r="AV19" s="460"/>
      <c r="AW19" s="460"/>
      <c r="AX19" s="468" t="s">
        <v>82</v>
      </c>
      <c r="AY19" s="468"/>
      <c r="AZ19" s="468"/>
      <c r="BA19" s="27"/>
      <c r="BB19" s="470" t="s">
        <v>83</v>
      </c>
      <c r="BC19" s="471"/>
      <c r="BD19" s="471"/>
      <c r="BE19" s="471"/>
      <c r="BF19" s="471"/>
      <c r="BG19" s="471"/>
      <c r="BH19" s="471"/>
      <c r="BI19" s="471"/>
      <c r="BJ19" s="471"/>
      <c r="BK19" s="471"/>
      <c r="BL19" s="471"/>
      <c r="BM19" s="471"/>
      <c r="BN19" s="472"/>
      <c r="BO19" s="473" t="s">
        <v>84</v>
      </c>
      <c r="BP19" s="329"/>
      <c r="BQ19" s="329"/>
      <c r="BR19" s="329"/>
      <c r="BS19" s="329"/>
      <c r="BT19" s="329"/>
      <c r="BU19" s="329"/>
      <c r="BV19" s="329"/>
      <c r="BW19" s="329"/>
      <c r="BX19" s="329"/>
      <c r="BY19" s="329"/>
      <c r="BZ19" s="329"/>
      <c r="CA19" s="330"/>
      <c r="CB19" s="153"/>
      <c r="CC19" s="153"/>
      <c r="CF19" s="82" t="s">
        <v>621</v>
      </c>
      <c r="CG19" s="83" t="s">
        <v>606</v>
      </c>
      <c r="CR19" s="152"/>
      <c r="CS19" s="152"/>
    </row>
    <row r="20" spans="1:97" ht="9.75" customHeight="1" x14ac:dyDescent="0.55000000000000004">
      <c r="A20" s="403"/>
      <c r="B20" s="403"/>
      <c r="C20" s="403"/>
      <c r="D20" s="403"/>
      <c r="E20" s="21"/>
      <c r="F20" s="2"/>
      <c r="G20" s="2"/>
      <c r="H20" s="2"/>
      <c r="I20" s="2"/>
      <c r="J20" s="2"/>
      <c r="K20" s="2"/>
      <c r="L20" s="2"/>
      <c r="M20" s="2"/>
      <c r="N20" s="2"/>
      <c r="O20" s="2"/>
      <c r="P20" s="26"/>
      <c r="Q20" s="27"/>
      <c r="R20" s="467"/>
      <c r="S20" s="467"/>
      <c r="T20" s="467"/>
      <c r="U20" s="467"/>
      <c r="V20" s="467"/>
      <c r="W20" s="467"/>
      <c r="X20" s="467"/>
      <c r="Y20" s="467"/>
      <c r="Z20" s="467"/>
      <c r="AA20" s="467"/>
      <c r="AB20" s="467"/>
      <c r="AC20" s="467"/>
      <c r="AD20" s="467"/>
      <c r="AE20" s="467"/>
      <c r="AF20" s="467"/>
      <c r="AG20" s="467"/>
      <c r="AH20" s="467"/>
      <c r="AI20" s="467"/>
      <c r="AJ20" s="467"/>
      <c r="AK20" s="467"/>
      <c r="AL20" s="467"/>
      <c r="AM20" s="467"/>
      <c r="AN20" s="467"/>
      <c r="AO20" s="467"/>
      <c r="AP20" s="467"/>
      <c r="AQ20" s="467"/>
      <c r="AR20" s="467"/>
      <c r="AS20" s="467"/>
      <c r="AT20" s="467"/>
      <c r="AU20" s="467"/>
      <c r="AV20" s="467"/>
      <c r="AW20" s="467"/>
      <c r="AX20" s="469"/>
      <c r="AY20" s="469"/>
      <c r="AZ20" s="469"/>
      <c r="BA20" s="27"/>
      <c r="BB20" s="474" t="s">
        <v>85</v>
      </c>
      <c r="BC20" s="475"/>
      <c r="BD20" s="475"/>
      <c r="BE20" s="475"/>
      <c r="BF20" s="475"/>
      <c r="BG20" s="475"/>
      <c r="BH20" s="475"/>
      <c r="BI20" s="475"/>
      <c r="BJ20" s="475"/>
      <c r="BK20" s="475"/>
      <c r="BL20" s="475"/>
      <c r="BM20" s="475"/>
      <c r="BN20" s="475"/>
      <c r="BO20" s="478" t="s">
        <v>86</v>
      </c>
      <c r="BP20" s="428"/>
      <c r="BQ20" s="428"/>
      <c r="BR20" s="428"/>
      <c r="BS20" s="428"/>
      <c r="BT20" s="428"/>
      <c r="BU20" s="428"/>
      <c r="BV20" s="428"/>
      <c r="BW20" s="428"/>
      <c r="BX20" s="428"/>
      <c r="BY20" s="428"/>
      <c r="BZ20" s="428"/>
      <c r="CA20" s="479"/>
      <c r="CB20" s="153"/>
      <c r="CC20" s="153"/>
      <c r="CF20" s="82" t="s">
        <v>622</v>
      </c>
      <c r="CG20" s="83" t="s">
        <v>579</v>
      </c>
      <c r="CR20" s="152"/>
      <c r="CS20" s="152"/>
    </row>
    <row r="21" spans="1:97" ht="9.65" customHeight="1" x14ac:dyDescent="0.55000000000000004">
      <c r="A21" s="403"/>
      <c r="B21" s="403"/>
      <c r="C21" s="403"/>
      <c r="D21" s="403"/>
      <c r="E21" s="21"/>
      <c r="F21" s="2"/>
      <c r="G21" s="2"/>
      <c r="H21" s="2"/>
      <c r="I21" s="2"/>
      <c r="J21" s="2"/>
      <c r="K21" s="2"/>
      <c r="L21" s="2"/>
      <c r="M21" s="2"/>
      <c r="N21" s="2"/>
      <c r="O21" s="2"/>
      <c r="P21" s="26"/>
      <c r="Q21" s="27"/>
      <c r="R21" s="27"/>
      <c r="S21" s="27"/>
      <c r="T21" s="27"/>
      <c r="U21" s="27"/>
      <c r="V21" s="27"/>
      <c r="W21" s="27"/>
      <c r="X21" s="27"/>
      <c r="Y21" s="27"/>
      <c r="Z21" s="27"/>
      <c r="AA21" s="27"/>
      <c r="AB21" s="27"/>
      <c r="AC21" s="27"/>
      <c r="AD21" s="27"/>
      <c r="AE21" s="27"/>
      <c r="AF21" s="27"/>
      <c r="AG21" s="27"/>
      <c r="AH21" s="27"/>
      <c r="AI21" s="27"/>
      <c r="AJ21" s="27"/>
      <c r="AK21" s="2"/>
      <c r="AL21" s="2"/>
      <c r="AM21" s="2"/>
      <c r="AN21" s="2"/>
      <c r="AO21" s="2"/>
      <c r="AP21" s="2"/>
      <c r="AQ21" s="2"/>
      <c r="AR21" s="2"/>
      <c r="AS21" s="2"/>
      <c r="AT21" s="2"/>
      <c r="AU21" s="2"/>
      <c r="AV21" s="2"/>
      <c r="AW21" s="2"/>
      <c r="AX21" s="2"/>
      <c r="AY21" s="2"/>
      <c r="AZ21" s="2"/>
      <c r="BA21" s="2"/>
      <c r="BB21" s="476"/>
      <c r="BC21" s="477"/>
      <c r="BD21" s="477"/>
      <c r="BE21" s="477"/>
      <c r="BF21" s="477"/>
      <c r="BG21" s="477"/>
      <c r="BH21" s="477"/>
      <c r="BI21" s="477"/>
      <c r="BJ21" s="477"/>
      <c r="BK21" s="477"/>
      <c r="BL21" s="477"/>
      <c r="BM21" s="477"/>
      <c r="BN21" s="477"/>
      <c r="BO21" s="478"/>
      <c r="BP21" s="428"/>
      <c r="BQ21" s="428"/>
      <c r="BR21" s="428"/>
      <c r="BS21" s="428"/>
      <c r="BT21" s="428"/>
      <c r="BU21" s="428"/>
      <c r="BV21" s="428"/>
      <c r="BW21" s="428"/>
      <c r="BX21" s="428"/>
      <c r="BY21" s="428"/>
      <c r="BZ21" s="428"/>
      <c r="CA21" s="479"/>
      <c r="CB21" s="153"/>
      <c r="CC21" s="153"/>
      <c r="CF21" s="82" t="s">
        <v>623</v>
      </c>
      <c r="CG21" s="83" t="s">
        <v>607</v>
      </c>
      <c r="CR21" s="152"/>
      <c r="CS21" s="152"/>
    </row>
    <row r="22" spans="1:97" ht="9.65" customHeight="1" x14ac:dyDescent="0.55000000000000004">
      <c r="A22" s="403"/>
      <c r="B22" s="403"/>
      <c r="C22" s="403"/>
      <c r="D22" s="403"/>
      <c r="E22" s="21"/>
      <c r="F22" s="2"/>
      <c r="G22" s="2"/>
      <c r="H22" s="2"/>
      <c r="I22" s="2"/>
      <c r="J22" s="2"/>
      <c r="K22" s="2"/>
      <c r="L22" s="2"/>
      <c r="M22" s="2"/>
      <c r="N22" s="2"/>
      <c r="O22" s="22"/>
      <c r="P22" s="26"/>
      <c r="Q22" s="27"/>
      <c r="R22" s="27"/>
      <c r="S22" s="27"/>
      <c r="T22" s="27"/>
      <c r="U22" s="27"/>
      <c r="V22" s="27"/>
      <c r="W22" s="27"/>
      <c r="X22" s="27"/>
      <c r="Y22" s="27"/>
      <c r="Z22" s="27"/>
      <c r="AA22" s="27"/>
      <c r="AB22" s="27"/>
      <c r="AC22" s="27"/>
      <c r="AD22" s="27"/>
      <c r="AE22" s="27"/>
      <c r="AF22" s="27"/>
      <c r="AG22" s="27"/>
      <c r="AH22" s="27"/>
      <c r="AI22" s="27"/>
      <c r="AJ22" s="27"/>
      <c r="AK22" s="2"/>
      <c r="AL22" s="2"/>
      <c r="AM22" s="2"/>
      <c r="AN22" s="2"/>
      <c r="AO22" s="2"/>
      <c r="AP22" s="2"/>
      <c r="AQ22" s="2"/>
      <c r="AR22" s="2"/>
      <c r="AS22" s="2"/>
      <c r="AT22" s="2"/>
      <c r="AU22" s="2"/>
      <c r="AV22" s="2"/>
      <c r="AW22" s="2"/>
      <c r="AX22" s="2"/>
      <c r="AY22" s="2"/>
      <c r="AZ22" s="2"/>
      <c r="BA22" s="2"/>
      <c r="BB22" s="476"/>
      <c r="BC22" s="477"/>
      <c r="BD22" s="477"/>
      <c r="BE22" s="477"/>
      <c r="BF22" s="477"/>
      <c r="BG22" s="477"/>
      <c r="BH22" s="477"/>
      <c r="BI22" s="477"/>
      <c r="BJ22" s="477"/>
      <c r="BK22" s="477"/>
      <c r="BL22" s="477"/>
      <c r="BM22" s="477"/>
      <c r="BN22" s="477"/>
      <c r="BO22" s="478"/>
      <c r="BP22" s="428"/>
      <c r="BQ22" s="428"/>
      <c r="BR22" s="428"/>
      <c r="BS22" s="428"/>
      <c r="BT22" s="428"/>
      <c r="BU22" s="428"/>
      <c r="BV22" s="428"/>
      <c r="BW22" s="428"/>
      <c r="BX22" s="428"/>
      <c r="BY22" s="428"/>
      <c r="BZ22" s="428"/>
      <c r="CA22" s="479"/>
      <c r="CB22" s="153"/>
      <c r="CC22" s="153"/>
      <c r="CF22" s="82" t="s">
        <v>624</v>
      </c>
      <c r="CG22" s="83" t="s">
        <v>584</v>
      </c>
      <c r="CR22" s="152"/>
      <c r="CS22" s="152"/>
    </row>
    <row r="23" spans="1:97" ht="9.65" customHeight="1" x14ac:dyDescent="0.55000000000000004">
      <c r="A23" s="403"/>
      <c r="B23" s="403"/>
      <c r="C23" s="403"/>
      <c r="D23" s="403"/>
      <c r="E23" s="480" t="s">
        <v>87</v>
      </c>
      <c r="F23" s="481"/>
      <c r="G23" s="481"/>
      <c r="H23" s="481"/>
      <c r="I23" s="481"/>
      <c r="J23" s="481"/>
      <c r="K23" s="481"/>
      <c r="L23" s="481"/>
      <c r="M23" s="481"/>
      <c r="N23" s="481"/>
      <c r="O23" s="481"/>
      <c r="P23" s="481"/>
      <c r="Q23" s="481"/>
      <c r="R23" s="481"/>
      <c r="S23" s="481"/>
      <c r="T23" s="481"/>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9"/>
      <c r="BO23" s="428"/>
      <c r="BP23" s="428"/>
      <c r="BQ23" s="428"/>
      <c r="BR23" s="428"/>
      <c r="BS23" s="428"/>
      <c r="BT23" s="428"/>
      <c r="BU23" s="428"/>
      <c r="BV23" s="428"/>
      <c r="BW23" s="428"/>
      <c r="BX23" s="428"/>
      <c r="BY23" s="428"/>
      <c r="BZ23" s="428"/>
      <c r="CA23" s="479"/>
      <c r="CB23" s="157"/>
      <c r="CC23" s="153"/>
      <c r="CF23" s="82" t="s">
        <v>625</v>
      </c>
      <c r="CG23" s="83" t="s">
        <v>587</v>
      </c>
      <c r="CR23" s="152"/>
      <c r="CS23" s="152"/>
    </row>
    <row r="24" spans="1:97" ht="9.65" customHeight="1" x14ac:dyDescent="0.55000000000000004">
      <c r="A24" s="160"/>
      <c r="B24" s="30"/>
      <c r="C24" s="30"/>
      <c r="D24" s="30"/>
      <c r="E24" s="482"/>
      <c r="F24" s="483"/>
      <c r="G24" s="483"/>
      <c r="H24" s="483"/>
      <c r="I24" s="483"/>
      <c r="J24" s="483"/>
      <c r="K24" s="483"/>
      <c r="L24" s="483"/>
      <c r="M24" s="483"/>
      <c r="N24" s="483"/>
      <c r="O24" s="483"/>
      <c r="P24" s="483"/>
      <c r="Q24" s="483"/>
      <c r="R24" s="483"/>
      <c r="S24" s="483"/>
      <c r="T24" s="483"/>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31"/>
      <c r="BN24" s="32"/>
      <c r="BO24" s="428"/>
      <c r="BP24" s="428"/>
      <c r="BQ24" s="428"/>
      <c r="BR24" s="428"/>
      <c r="BS24" s="428"/>
      <c r="BT24" s="428"/>
      <c r="BU24" s="428"/>
      <c r="BV24" s="428"/>
      <c r="BW24" s="428"/>
      <c r="BX24" s="428"/>
      <c r="BY24" s="428"/>
      <c r="BZ24" s="428"/>
      <c r="CA24" s="479"/>
      <c r="CB24" s="157"/>
      <c r="CC24" s="153"/>
      <c r="CF24" s="82" t="s">
        <v>626</v>
      </c>
      <c r="CG24" s="83" t="s">
        <v>591</v>
      </c>
      <c r="CR24" s="152"/>
      <c r="CS24" s="152"/>
    </row>
    <row r="25" spans="1:97" ht="9.65" customHeight="1" x14ac:dyDescent="0.55000000000000004">
      <c r="A25" s="160"/>
      <c r="B25" s="30"/>
      <c r="C25" s="30"/>
      <c r="D25" s="30"/>
      <c r="E25" s="21"/>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33"/>
      <c r="BO25" s="428"/>
      <c r="BP25" s="428"/>
      <c r="BQ25" s="428"/>
      <c r="BR25" s="428"/>
      <c r="BS25" s="428"/>
      <c r="BT25" s="428"/>
      <c r="BU25" s="428"/>
      <c r="BV25" s="428"/>
      <c r="BW25" s="428"/>
      <c r="BX25" s="428"/>
      <c r="BY25" s="428"/>
      <c r="BZ25" s="428"/>
      <c r="CA25" s="479"/>
      <c r="CB25" s="153"/>
      <c r="CC25" s="153"/>
      <c r="CF25" s="82" t="s">
        <v>627</v>
      </c>
      <c r="CG25" s="83" t="s">
        <v>594</v>
      </c>
      <c r="CR25" s="152"/>
      <c r="CS25" s="152"/>
    </row>
    <row r="26" spans="1:97" ht="9.5" customHeight="1" x14ac:dyDescent="0.55000000000000004">
      <c r="A26" s="153"/>
      <c r="B26" s="2"/>
      <c r="C26" s="2"/>
      <c r="D26" s="2"/>
      <c r="E26" s="21"/>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33"/>
      <c r="BO26" s="428"/>
      <c r="BP26" s="428"/>
      <c r="BQ26" s="428"/>
      <c r="BR26" s="428"/>
      <c r="BS26" s="428"/>
      <c r="BT26" s="428"/>
      <c r="BU26" s="428"/>
      <c r="BV26" s="428"/>
      <c r="BW26" s="428"/>
      <c r="BX26" s="428"/>
      <c r="BY26" s="428"/>
      <c r="BZ26" s="428"/>
      <c r="CA26" s="479"/>
      <c r="CB26" s="153"/>
      <c r="CC26" s="153"/>
      <c r="CF26" s="82" t="s">
        <v>628</v>
      </c>
      <c r="CG26" s="83" t="s">
        <v>608</v>
      </c>
      <c r="CR26" s="152"/>
      <c r="CS26" s="152"/>
    </row>
    <row r="27" spans="1:97" ht="9" customHeight="1" x14ac:dyDescent="0.55000000000000004">
      <c r="A27" s="153"/>
      <c r="B27" s="2"/>
      <c r="C27" s="2"/>
      <c r="D27" s="2"/>
      <c r="E27" s="34"/>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6"/>
      <c r="BO27" s="462"/>
      <c r="BP27" s="462"/>
      <c r="BQ27" s="462"/>
      <c r="BR27" s="462"/>
      <c r="BS27" s="462"/>
      <c r="BT27" s="462"/>
      <c r="BU27" s="462"/>
      <c r="BV27" s="462"/>
      <c r="BW27" s="462"/>
      <c r="BX27" s="462"/>
      <c r="BY27" s="462"/>
      <c r="BZ27" s="462"/>
      <c r="CA27" s="463"/>
      <c r="CB27" s="153"/>
      <c r="CC27" s="153"/>
      <c r="CR27" s="152"/>
      <c r="CS27" s="152"/>
    </row>
    <row r="28" spans="1:97" ht="11.15" customHeight="1" x14ac:dyDescent="0.55000000000000004">
      <c r="A28" s="153"/>
      <c r="B28" s="153"/>
      <c r="C28" s="153"/>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3"/>
      <c r="CA28" s="153"/>
      <c r="CB28" s="153"/>
      <c r="CC28" s="153"/>
      <c r="CD28" s="152"/>
      <c r="CE28" s="152"/>
      <c r="CF28" s="162" t="s">
        <v>632</v>
      </c>
      <c r="CG28" s="163"/>
      <c r="CH28" s="164" t="s">
        <v>638</v>
      </c>
      <c r="CI28" s="152"/>
      <c r="CJ28" s="152" t="s">
        <v>641</v>
      </c>
      <c r="CK28" s="152" t="s">
        <v>640</v>
      </c>
      <c r="CL28" s="152" t="s">
        <v>639</v>
      </c>
      <c r="CM28" s="152" t="s">
        <v>642</v>
      </c>
      <c r="CN28" s="152" t="s">
        <v>641</v>
      </c>
      <c r="CO28" s="152" t="s">
        <v>640</v>
      </c>
      <c r="CP28" s="152" t="s">
        <v>639</v>
      </c>
      <c r="CQ28" s="152" t="s">
        <v>25</v>
      </c>
      <c r="CR28" s="152"/>
      <c r="CS28" s="152"/>
    </row>
    <row r="29" spans="1:97" s="85" customFormat="1" ht="6" customHeight="1" x14ac:dyDescent="0.55000000000000004">
      <c r="A29" s="153"/>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318" t="s">
        <v>670</v>
      </c>
      <c r="AV29" s="318"/>
      <c r="AW29" s="318"/>
      <c r="AX29" s="318"/>
      <c r="AY29" s="318"/>
      <c r="AZ29" s="318"/>
      <c r="BA29" s="318"/>
      <c r="BB29" s="318"/>
      <c r="BC29" s="318"/>
      <c r="BD29" s="318"/>
      <c r="BE29" s="318"/>
      <c r="BF29" s="318"/>
      <c r="BG29" s="318"/>
      <c r="BH29" s="318"/>
      <c r="BI29" s="318"/>
      <c r="BJ29" s="318"/>
      <c r="BK29" s="318"/>
      <c r="BL29" s="318"/>
      <c r="BM29" s="318"/>
      <c r="BN29" s="318"/>
      <c r="BO29" s="318"/>
      <c r="BP29" s="318"/>
      <c r="BQ29" s="318"/>
      <c r="BR29" s="318"/>
      <c r="BS29" s="318"/>
      <c r="BT29" s="318"/>
      <c r="BU29" s="318"/>
      <c r="BV29" s="318"/>
      <c r="BW29" s="318"/>
      <c r="BX29" s="318"/>
      <c r="BY29" s="318"/>
      <c r="BZ29" s="318"/>
      <c r="CA29" s="318"/>
      <c r="CB29" s="153"/>
      <c r="CC29" s="153"/>
      <c r="CD29" s="152"/>
      <c r="CE29" s="152"/>
      <c r="CF29" s="162"/>
      <c r="CG29" s="163"/>
      <c r="CH29" s="164"/>
      <c r="CI29" s="152"/>
      <c r="CJ29" s="152"/>
      <c r="CK29" s="152"/>
      <c r="CL29" s="152"/>
      <c r="CM29" s="152"/>
      <c r="CN29" s="152"/>
      <c r="CO29" s="152"/>
      <c r="CP29" s="152"/>
      <c r="CQ29" s="152"/>
      <c r="CR29" s="152"/>
      <c r="CS29" s="152"/>
    </row>
    <row r="30" spans="1:97" s="85" customFormat="1" ht="11.15" customHeight="1" x14ac:dyDescent="0.55000000000000004">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20" t="s">
        <v>665</v>
      </c>
      <c r="AL30" s="320"/>
      <c r="AM30" s="320"/>
      <c r="AN30" s="320"/>
      <c r="AO30" s="320"/>
      <c r="AP30" s="320"/>
      <c r="AQ30" s="320"/>
      <c r="AR30" s="320"/>
      <c r="AS30" s="37"/>
      <c r="AT30" s="37"/>
      <c r="AU30" s="319"/>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7"/>
      <c r="CC30" s="153"/>
      <c r="CD30" s="152"/>
      <c r="CE30" s="152"/>
      <c r="CF30" s="162"/>
      <c r="CG30" s="163"/>
      <c r="CH30" s="164"/>
      <c r="CI30" s="152"/>
      <c r="CJ30" s="152"/>
      <c r="CK30" s="152"/>
      <c r="CL30" s="152"/>
      <c r="CM30" s="152"/>
      <c r="CN30" s="152"/>
      <c r="CO30" s="152"/>
      <c r="CP30" s="152"/>
      <c r="CQ30" s="152"/>
      <c r="CR30" s="152"/>
      <c r="CS30" s="152"/>
    </row>
    <row r="31" spans="1:97" ht="11.25" customHeight="1" x14ac:dyDescent="0.55000000000000004">
      <c r="A31" s="153"/>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320"/>
      <c r="AL31" s="320"/>
      <c r="AM31" s="320"/>
      <c r="AN31" s="320"/>
      <c r="AO31" s="320"/>
      <c r="AP31" s="320"/>
      <c r="AQ31" s="320"/>
      <c r="AR31" s="320"/>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153"/>
      <c r="CC31" s="153"/>
      <c r="CF31" s="80" t="s">
        <v>633</v>
      </c>
      <c r="CG31" s="81">
        <f>IF(入力表!I18="",入力表!E18,入力表!I18)</f>
        <v>0</v>
      </c>
      <c r="CH31" s="79">
        <f>LEN(CG31)</f>
        <v>1</v>
      </c>
      <c r="CI31" s="161" t="str">
        <f>IF(AND($CH31&lt;=11,$CH31&gt;=9),MID($CG31,$CH31-8,1),"")</f>
        <v/>
      </c>
      <c r="CJ31" s="161" t="str">
        <f>IF(AND($CH31&lt;=11,$CH31&gt;=8),MID($CG31,$CH31-7,1),"")</f>
        <v/>
      </c>
      <c r="CK31" s="161" t="str">
        <f>IF(AND($CH$31&lt;=11,$CH$31&gt;=7),MID($CG$31,$CH$31-6,1),"")</f>
        <v/>
      </c>
      <c r="CL31" s="161" t="str">
        <f>IF(AND($CH31&lt;=11,$CH31&gt;=6),MID($CG31,$CH31-5,1),"")</f>
        <v/>
      </c>
      <c r="CM31" s="161" t="str">
        <f>IF(AND($CH31&lt;=11,$CH31&gt;=5),MID($CG31,$CH31-4,1),"")</f>
        <v/>
      </c>
      <c r="CN31" s="161" t="str">
        <f>IF(AND($CH31&lt;=11,$CH31&gt;=4),MID($CG31,$CH31-3,1),"")</f>
        <v/>
      </c>
      <c r="CO31" s="161" t="str">
        <f>IF(AND($CH31&lt;=11,$CH31&gt;=3),MID($CG31,$CH31-2,1),"")</f>
        <v/>
      </c>
      <c r="CP31" s="161" t="str">
        <f>IF(AND($CH31&lt;=11,$CH31&gt;=2),MID($CG31,$CH31-1,1),"")</f>
        <v/>
      </c>
      <c r="CQ31" s="165" t="str">
        <f>IF(AND($CH31&lt;=11,$CH31&gt;=1),MID($CG31,$CH31-0,1),"")</f>
        <v>0</v>
      </c>
      <c r="CR31" s="152"/>
      <c r="CS31" s="152"/>
    </row>
    <row r="32" spans="1:97" s="85" customFormat="1" ht="11.25" customHeight="1" x14ac:dyDescent="0.55000000000000004">
      <c r="A32" s="153"/>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153"/>
      <c r="CC32" s="153"/>
      <c r="CF32" s="80"/>
      <c r="CG32" s="81"/>
      <c r="CH32" s="79"/>
      <c r="CI32" s="161"/>
      <c r="CJ32" s="161"/>
      <c r="CK32" s="161"/>
      <c r="CL32" s="161"/>
      <c r="CM32" s="161"/>
      <c r="CN32" s="161"/>
      <c r="CO32" s="161"/>
      <c r="CP32" s="161"/>
      <c r="CQ32" s="165"/>
      <c r="CR32" s="152"/>
      <c r="CS32" s="152"/>
    </row>
    <row r="33" spans="1:97" ht="9" customHeight="1" x14ac:dyDescent="0.55000000000000004">
      <c r="A33" s="153"/>
      <c r="B33" s="2"/>
      <c r="C33" s="2"/>
      <c r="D33" s="2"/>
      <c r="E33" s="378" t="s">
        <v>48</v>
      </c>
      <c r="F33" s="378"/>
      <c r="G33" s="378"/>
      <c r="H33" s="378"/>
      <c r="I33" s="378"/>
      <c r="J33" s="2"/>
      <c r="K33" s="379" t="s">
        <v>49</v>
      </c>
      <c r="L33" s="379"/>
      <c r="M33" s="379"/>
      <c r="N33" s="379"/>
      <c r="O33" s="379"/>
      <c r="P33" s="3">
        <v>0</v>
      </c>
      <c r="Q33" s="3">
        <v>1</v>
      </c>
      <c r="R33" s="3">
        <v>0</v>
      </c>
      <c r="S33" s="3">
        <v>0</v>
      </c>
      <c r="T33" s="3">
        <v>0</v>
      </c>
      <c r="U33" s="3">
        <v>6</v>
      </c>
      <c r="V33" s="2"/>
      <c r="W33" s="2"/>
      <c r="X33" s="2"/>
      <c r="Y33" s="380" t="s">
        <v>88</v>
      </c>
      <c r="Z33" s="380"/>
      <c r="AA33" s="380"/>
      <c r="AB33" s="380"/>
      <c r="AC33" s="380"/>
      <c r="AD33" s="380"/>
      <c r="AE33" s="380"/>
      <c r="AF33" s="380"/>
      <c r="AG33" s="380"/>
      <c r="AH33" s="380"/>
      <c r="AI33" s="380"/>
      <c r="AJ33" s="380"/>
      <c r="AK33" s="380"/>
      <c r="AL33" s="380"/>
      <c r="AM33" s="380"/>
      <c r="AN33" s="380"/>
      <c r="AO33" s="380"/>
      <c r="AP33" s="380"/>
      <c r="AQ33" s="380"/>
      <c r="AR33" s="380"/>
      <c r="AS33" s="380"/>
      <c r="AT33" s="380"/>
      <c r="AU33" s="380"/>
      <c r="AV33" s="380"/>
      <c r="AW33" s="380"/>
      <c r="AX33" s="380"/>
      <c r="AY33" s="380"/>
      <c r="AZ33" s="4"/>
      <c r="BA33" s="381" t="s">
        <v>51</v>
      </c>
      <c r="BB33" s="381"/>
      <c r="BC33" s="381"/>
      <c r="BD33" s="4"/>
      <c r="BE33" s="4"/>
      <c r="BF33" s="2"/>
      <c r="BG33" s="2"/>
      <c r="BH33" s="2"/>
      <c r="BI33" s="2"/>
      <c r="BJ33" s="2"/>
      <c r="BK33" s="2"/>
      <c r="BL33" s="2"/>
      <c r="BM33" s="2"/>
      <c r="BN33" s="2"/>
      <c r="BO33" s="2"/>
      <c r="BP33" s="2"/>
      <c r="BQ33" s="2"/>
      <c r="BR33" s="2"/>
      <c r="BS33" s="2"/>
      <c r="BT33" s="2"/>
      <c r="BU33" s="382"/>
      <c r="BV33" s="383"/>
      <c r="BW33" s="383"/>
      <c r="BX33" s="383"/>
      <c r="BY33" s="383"/>
      <c r="BZ33" s="383"/>
      <c r="CA33" s="383"/>
      <c r="CB33" s="154"/>
      <c r="CC33" s="153"/>
      <c r="CF33" s="80" t="s">
        <v>42</v>
      </c>
      <c r="CG33" s="81">
        <f>IF(入力表!I19="",入力表!E19,入力表!I19)</f>
        <v>0</v>
      </c>
      <c r="CH33" s="79">
        <f t="shared" ref="CH33:CH37" si="0">LEN(CG33)</f>
        <v>1</v>
      </c>
      <c r="CI33" s="84" t="str">
        <f t="shared" ref="CI33:CI37" si="1">IF(AND($CH33&lt;=11,$CH33&gt;=9),MID($CG33,$CH33-8,1),"")</f>
        <v/>
      </c>
      <c r="CJ33" s="84" t="str">
        <f t="shared" ref="CJ33:CJ37" si="2">IF(AND($CH33&lt;=11,$CH33&gt;=8),MID($CG33,$CH33-7,1),"")</f>
        <v/>
      </c>
      <c r="CK33" s="84" t="str">
        <f>IF(AND($CH$33&lt;=11,$CH$33&gt;=7),MID($CG$33,$CH$33-6,1),"")</f>
        <v/>
      </c>
      <c r="CL33" s="84" t="str">
        <f t="shared" ref="CL33:CL37" si="3">IF(AND($CH33&lt;=11,$CH33&gt;=6),MID($CG33,$CH33-5,1),"")</f>
        <v/>
      </c>
      <c r="CM33" s="84" t="str">
        <f t="shared" ref="CM33:CM37" si="4">IF(AND($CH33&lt;=11,$CH33&gt;=5),MID($CG33,$CH33-4,1),"")</f>
        <v/>
      </c>
      <c r="CN33" s="84" t="str">
        <f t="shared" ref="CN33:CN37" si="5">IF(AND($CH33&lt;=11,$CH33&gt;=4),MID($CG33,$CH33-3,1),"")</f>
        <v/>
      </c>
      <c r="CO33" s="84" t="str">
        <f t="shared" ref="CO33:CO37" si="6">IF(AND($CH33&lt;=11,$CH33&gt;=3),MID($CG33,$CH33-2,1),"")</f>
        <v/>
      </c>
      <c r="CP33" s="84" t="str">
        <f t="shared" ref="CP33:CP37" si="7">IF(AND($CH33&lt;=11,$CH33&gt;=2),MID($CG33,$CH33-1,1),"")</f>
        <v/>
      </c>
      <c r="CQ33" s="167" t="str">
        <f t="shared" ref="CQ33:CQ37" si="8">IF(AND($CH33&lt;=11,$CH33&gt;=1),MID($CG33,$CH33-0,1),"")</f>
        <v>0</v>
      </c>
      <c r="CR33" s="152"/>
      <c r="CS33" s="152"/>
    </row>
    <row r="34" spans="1:97" ht="9" customHeight="1" x14ac:dyDescent="0.4">
      <c r="A34" s="153"/>
      <c r="B34" s="2"/>
      <c r="C34" s="2"/>
      <c r="D34" s="2"/>
      <c r="E34" s="378"/>
      <c r="F34" s="378"/>
      <c r="G34" s="378"/>
      <c r="H34" s="378"/>
      <c r="I34" s="378"/>
      <c r="J34" s="2"/>
      <c r="K34" s="5"/>
      <c r="L34" s="6"/>
      <c r="M34" s="6"/>
      <c r="N34" s="6"/>
      <c r="O34" s="7"/>
      <c r="P34" s="2"/>
      <c r="Q34" s="2"/>
      <c r="R34" s="2"/>
      <c r="S34" s="2"/>
      <c r="T34" s="2"/>
      <c r="U34" s="2"/>
      <c r="V34" s="2"/>
      <c r="W34" s="2"/>
      <c r="X34" s="2"/>
      <c r="Y34" s="380"/>
      <c r="Z34" s="380"/>
      <c r="AA34" s="380"/>
      <c r="AB34" s="380"/>
      <c r="AC34" s="380"/>
      <c r="AD34" s="380"/>
      <c r="AE34" s="380"/>
      <c r="AF34" s="380"/>
      <c r="AG34" s="380"/>
      <c r="AH34" s="380"/>
      <c r="AI34" s="380"/>
      <c r="AJ34" s="380"/>
      <c r="AK34" s="380"/>
      <c r="AL34" s="380"/>
      <c r="AM34" s="380"/>
      <c r="AN34" s="380"/>
      <c r="AO34" s="380"/>
      <c r="AP34" s="380"/>
      <c r="AQ34" s="380"/>
      <c r="AR34" s="380"/>
      <c r="AS34" s="380"/>
      <c r="AT34" s="380"/>
      <c r="AU34" s="380"/>
      <c r="AV34" s="380"/>
      <c r="AW34" s="380"/>
      <c r="AX34" s="380"/>
      <c r="AY34" s="380"/>
      <c r="AZ34" s="4"/>
      <c r="BA34" s="381"/>
      <c r="BB34" s="381"/>
      <c r="BC34" s="381"/>
      <c r="BD34" s="4"/>
      <c r="BE34" s="4"/>
      <c r="BF34" s="2"/>
      <c r="BG34" s="2"/>
      <c r="BH34" s="2"/>
      <c r="BI34" s="2"/>
      <c r="BJ34" s="2"/>
      <c r="BK34" s="2"/>
      <c r="BL34" s="2"/>
      <c r="BM34" s="2"/>
      <c r="BN34" s="2"/>
      <c r="BO34" s="2"/>
      <c r="BP34" s="2"/>
      <c r="BQ34" s="2"/>
      <c r="BR34" s="2"/>
      <c r="BS34" s="2"/>
      <c r="BT34" s="2"/>
      <c r="BU34" s="8"/>
      <c r="BV34" s="9"/>
      <c r="BW34" s="9"/>
      <c r="BX34" s="9"/>
      <c r="BY34" s="9"/>
      <c r="BZ34" s="9"/>
      <c r="CA34" s="9"/>
      <c r="CB34" s="154"/>
      <c r="CC34" s="153"/>
      <c r="CF34" s="80" t="s">
        <v>634</v>
      </c>
      <c r="CG34" s="81">
        <f>IF(入力表!I20="",入力表!E20,入力表!I20)</f>
        <v>0</v>
      </c>
      <c r="CH34" s="79">
        <f t="shared" si="0"/>
        <v>1</v>
      </c>
      <c r="CI34" s="84" t="str">
        <f t="shared" si="1"/>
        <v/>
      </c>
      <c r="CJ34" s="84" t="str">
        <f t="shared" si="2"/>
        <v/>
      </c>
      <c r="CK34" s="84" t="str">
        <f>IF(AND($CH$34&lt;=11,$CH$34&gt;=7),MID($CG$34,$CH$34-6,1),"")</f>
        <v/>
      </c>
      <c r="CL34" s="84" t="str">
        <f t="shared" si="3"/>
        <v/>
      </c>
      <c r="CM34" s="84" t="str">
        <f t="shared" si="4"/>
        <v/>
      </c>
      <c r="CN34" s="84" t="str">
        <f t="shared" si="5"/>
        <v/>
      </c>
      <c r="CO34" s="84" t="str">
        <f t="shared" si="6"/>
        <v/>
      </c>
      <c r="CP34" s="84" t="str">
        <f t="shared" si="7"/>
        <v/>
      </c>
      <c r="CQ34" s="167" t="str">
        <f t="shared" si="8"/>
        <v>0</v>
      </c>
      <c r="CR34" s="152"/>
      <c r="CS34" s="152"/>
    </row>
    <row r="35" spans="1:97" ht="10.5" customHeight="1" x14ac:dyDescent="0.55000000000000004">
      <c r="A35" s="153"/>
      <c r="B35" s="2"/>
      <c r="C35" s="2"/>
      <c r="D35" s="2"/>
      <c r="E35" s="384" t="s">
        <v>53</v>
      </c>
      <c r="F35" s="385"/>
      <c r="G35" s="385"/>
      <c r="H35" s="385"/>
      <c r="I35" s="385"/>
      <c r="J35" s="386"/>
      <c r="K35" s="387" t="s">
        <v>672</v>
      </c>
      <c r="L35" s="388"/>
      <c r="M35" s="388"/>
      <c r="N35" s="389"/>
      <c r="O35" s="390" t="s">
        <v>54</v>
      </c>
      <c r="P35" s="385"/>
      <c r="Q35" s="385"/>
      <c r="R35" s="385"/>
      <c r="S35" s="385"/>
      <c r="T35" s="385"/>
      <c r="U35" s="385"/>
      <c r="V35" s="385"/>
      <c r="W35" s="391"/>
      <c r="X35" s="384" t="s">
        <v>55</v>
      </c>
      <c r="Y35" s="385"/>
      <c r="Z35" s="385"/>
      <c r="AA35" s="385"/>
      <c r="AB35" s="385"/>
      <c r="AC35" s="385"/>
      <c r="AD35" s="385"/>
      <c r="AE35" s="385"/>
      <c r="AF35" s="385"/>
      <c r="AG35" s="385"/>
      <c r="AH35" s="385"/>
      <c r="AI35" s="391"/>
      <c r="AJ35" s="400" t="s">
        <v>673</v>
      </c>
      <c r="AK35" s="401"/>
      <c r="AL35" s="401"/>
      <c r="AM35" s="401"/>
      <c r="AN35" s="178"/>
      <c r="AO35" s="401" t="s">
        <v>674</v>
      </c>
      <c r="AP35" s="401"/>
      <c r="AQ35" s="401"/>
      <c r="AR35" s="401"/>
      <c r="AS35" s="401"/>
      <c r="AT35" s="401"/>
      <c r="AU35" s="402"/>
      <c r="AV35" s="392" t="s">
        <v>56</v>
      </c>
      <c r="AW35" s="393"/>
      <c r="AX35" s="393"/>
      <c r="AY35" s="393"/>
      <c r="AZ35" s="393"/>
      <c r="BA35" s="393"/>
      <c r="BB35" s="393"/>
      <c r="BC35" s="393"/>
      <c r="BD35" s="393"/>
      <c r="BE35" s="393"/>
      <c r="BF35" s="393"/>
      <c r="BG35" s="393"/>
      <c r="BH35" s="393"/>
      <c r="BI35" s="393"/>
      <c r="BJ35" s="393"/>
      <c r="BK35" s="394"/>
      <c r="BL35" s="395" t="s">
        <v>57</v>
      </c>
      <c r="BM35" s="396"/>
      <c r="BN35" s="396"/>
      <c r="BO35" s="396"/>
      <c r="BP35" s="397" t="s">
        <v>58</v>
      </c>
      <c r="BQ35" s="398"/>
      <c r="BR35" s="398"/>
      <c r="BS35" s="398"/>
      <c r="BT35" s="398"/>
      <c r="BU35" s="398"/>
      <c r="BV35" s="398"/>
      <c r="BW35" s="398"/>
      <c r="BX35" s="398"/>
      <c r="BY35" s="398"/>
      <c r="BZ35" s="398"/>
      <c r="CA35" s="399"/>
      <c r="CB35" s="155"/>
      <c r="CC35" s="153"/>
      <c r="CF35" s="80" t="s">
        <v>635</v>
      </c>
      <c r="CG35" s="81">
        <f>IF(入力表!I21="",入力表!E21,入力表!I21)</f>
        <v>0</v>
      </c>
      <c r="CH35" s="79">
        <f t="shared" si="0"/>
        <v>1</v>
      </c>
      <c r="CI35" s="84" t="str">
        <f t="shared" si="1"/>
        <v/>
      </c>
      <c r="CJ35" s="84" t="str">
        <f t="shared" si="2"/>
        <v/>
      </c>
      <c r="CK35" s="84" t="str">
        <f>IF(AND($CH$35&lt;=11,$CH$35&gt;=7),MID($CG$35,$CH$35-6,1),"")</f>
        <v/>
      </c>
      <c r="CL35" s="84" t="str">
        <f t="shared" si="3"/>
        <v/>
      </c>
      <c r="CM35" s="84" t="str">
        <f t="shared" si="4"/>
        <v/>
      </c>
      <c r="CN35" s="84" t="str">
        <f t="shared" si="5"/>
        <v/>
      </c>
      <c r="CO35" s="84" t="str">
        <f t="shared" si="6"/>
        <v/>
      </c>
      <c r="CP35" s="84" t="str">
        <f t="shared" si="7"/>
        <v/>
      </c>
      <c r="CQ35" s="167" t="str">
        <f t="shared" si="8"/>
        <v>0</v>
      </c>
      <c r="CR35" s="152"/>
      <c r="CS35" s="152"/>
    </row>
    <row r="36" spans="1:97" ht="15" customHeight="1" x14ac:dyDescent="0.55000000000000004">
      <c r="A36" s="484" t="s">
        <v>89</v>
      </c>
      <c r="B36" s="484"/>
      <c r="C36" s="484"/>
      <c r="D36" s="484"/>
      <c r="E36" s="485">
        <f>E5</f>
        <v>0</v>
      </c>
      <c r="F36" s="486"/>
      <c r="G36" s="486"/>
      <c r="H36" s="486"/>
      <c r="I36" s="486"/>
      <c r="J36" s="487"/>
      <c r="K36" s="407" t="s">
        <v>60</v>
      </c>
      <c r="L36" s="408"/>
      <c r="M36" s="408"/>
      <c r="N36" s="409"/>
      <c r="O36" s="410">
        <f>O5</f>
        <v>0</v>
      </c>
      <c r="P36" s="411"/>
      <c r="Q36" s="411"/>
      <c r="R36" s="411"/>
      <c r="S36" s="411"/>
      <c r="T36" s="411"/>
      <c r="U36" s="411"/>
      <c r="V36" s="411"/>
      <c r="W36" s="412"/>
      <c r="X36" s="413" t="s">
        <v>61</v>
      </c>
      <c r="Y36" s="414"/>
      <c r="Z36" s="414"/>
      <c r="AA36" s="414"/>
      <c r="AB36" s="414"/>
      <c r="AC36" s="414"/>
      <c r="AD36" s="414"/>
      <c r="AE36" s="414"/>
      <c r="AF36" s="414"/>
      <c r="AG36" s="414"/>
      <c r="AH36" s="414"/>
      <c r="AI36" s="415"/>
      <c r="AJ36" s="416" t="s">
        <v>62</v>
      </c>
      <c r="AK36" s="417"/>
      <c r="AL36" s="417"/>
      <c r="AM36" s="417"/>
      <c r="AN36" s="417"/>
      <c r="AO36" s="417"/>
      <c r="AP36" s="417"/>
      <c r="AQ36" s="417"/>
      <c r="AR36" s="417"/>
      <c r="AS36" s="417"/>
      <c r="AT36" s="417"/>
      <c r="AU36" s="418"/>
      <c r="AV36" s="419" t="e">
        <f>AV5</f>
        <v>#N/A</v>
      </c>
      <c r="AW36" s="420"/>
      <c r="AX36" s="420"/>
      <c r="AY36" s="420"/>
      <c r="AZ36" s="420"/>
      <c r="BA36" s="420"/>
      <c r="BB36" s="420"/>
      <c r="BC36" s="420"/>
      <c r="BD36" s="420"/>
      <c r="BE36" s="420"/>
      <c r="BF36" s="420"/>
      <c r="BG36" s="420"/>
      <c r="BH36" s="420"/>
      <c r="BI36" s="420"/>
      <c r="BJ36" s="420"/>
      <c r="BK36" s="421"/>
      <c r="BL36" s="422" t="str">
        <f>BL5</f>
        <v/>
      </c>
      <c r="BM36" s="423"/>
      <c r="BN36" s="423"/>
      <c r="BO36" s="423"/>
      <c r="BP36" s="340" t="str">
        <f>BP5</f>
        <v/>
      </c>
      <c r="BQ36" s="341"/>
      <c r="BR36" s="341"/>
      <c r="BS36" s="341"/>
      <c r="BT36" s="341"/>
      <c r="BU36" s="341"/>
      <c r="BV36" s="341"/>
      <c r="BW36" s="341"/>
      <c r="BX36" s="341"/>
      <c r="BY36" s="341"/>
      <c r="BZ36" s="341"/>
      <c r="CA36" s="342"/>
      <c r="CB36" s="156"/>
      <c r="CC36" s="153"/>
      <c r="CF36" s="80" t="s">
        <v>636</v>
      </c>
      <c r="CG36" s="81">
        <f>IF(入力表!I22="",入力表!E22,入力表!I22)</f>
        <v>0</v>
      </c>
      <c r="CH36" s="79">
        <f t="shared" si="0"/>
        <v>1</v>
      </c>
      <c r="CI36" s="84" t="str">
        <f t="shared" si="1"/>
        <v/>
      </c>
      <c r="CJ36" s="84" t="str">
        <f t="shared" si="2"/>
        <v/>
      </c>
      <c r="CK36" s="84" t="str">
        <f>IF(AND($CH$36&lt;=11,$CH$36&gt;=7),MID($CG$36,$CH$36-6,1),"")</f>
        <v/>
      </c>
      <c r="CL36" s="84" t="str">
        <f t="shared" si="3"/>
        <v/>
      </c>
      <c r="CM36" s="84" t="str">
        <f t="shared" si="4"/>
        <v/>
      </c>
      <c r="CN36" s="84" t="str">
        <f t="shared" si="5"/>
        <v/>
      </c>
      <c r="CO36" s="84" t="str">
        <f t="shared" si="6"/>
        <v/>
      </c>
      <c r="CP36" s="84" t="str">
        <f t="shared" si="7"/>
        <v/>
      </c>
      <c r="CQ36" s="167" t="str">
        <f t="shared" si="8"/>
        <v>0</v>
      </c>
      <c r="CR36" s="152"/>
      <c r="CS36" s="152"/>
    </row>
    <row r="37" spans="1:97" ht="15" customHeight="1" x14ac:dyDescent="0.55000000000000004">
      <c r="A37" s="484"/>
      <c r="B37" s="484"/>
      <c r="C37" s="484"/>
      <c r="D37" s="484"/>
      <c r="E37" s="493"/>
      <c r="F37" s="494"/>
      <c r="G37" s="494"/>
      <c r="H37" s="494"/>
      <c r="I37" s="494"/>
      <c r="J37" s="494"/>
      <c r="K37" s="494"/>
      <c r="L37" s="494"/>
      <c r="M37" s="494"/>
      <c r="N37" s="494"/>
      <c r="O37" s="495"/>
      <c r="P37" s="500" t="s">
        <v>90</v>
      </c>
      <c r="Q37" s="501"/>
      <c r="R37" s="501"/>
      <c r="S37" s="501"/>
      <c r="T37" s="501"/>
      <c r="U37" s="501"/>
      <c r="V37" s="501"/>
      <c r="W37" s="501"/>
      <c r="X37" s="483"/>
      <c r="Y37" s="483"/>
      <c r="Z37" s="483"/>
      <c r="AA37" s="483"/>
      <c r="AB37" s="483"/>
      <c r="AC37" s="483"/>
      <c r="AD37" s="483"/>
      <c r="AE37" s="483"/>
      <c r="AF37" s="483"/>
      <c r="AG37" s="483"/>
      <c r="AH37" s="483"/>
      <c r="AI37" s="483"/>
      <c r="AJ37" s="501"/>
      <c r="AK37" s="501"/>
      <c r="AL37" s="501"/>
      <c r="AM37" s="501"/>
      <c r="AN37" s="501"/>
      <c r="AO37" s="501"/>
      <c r="AP37" s="501"/>
      <c r="AQ37" s="501"/>
      <c r="AR37" s="501"/>
      <c r="AS37" s="501"/>
      <c r="AT37" s="501"/>
      <c r="AU37" s="501"/>
      <c r="AV37" s="501"/>
      <c r="AW37" s="501"/>
      <c r="AX37" s="501"/>
      <c r="AY37" s="501"/>
      <c r="AZ37" s="501"/>
      <c r="BA37" s="502"/>
      <c r="BB37" s="441" t="s">
        <v>63</v>
      </c>
      <c r="BC37" s="442"/>
      <c r="BD37" s="442"/>
      <c r="BE37" s="442"/>
      <c r="BF37" s="442"/>
      <c r="BG37" s="442"/>
      <c r="BH37" s="443"/>
      <c r="BI37" s="343" t="s">
        <v>64</v>
      </c>
      <c r="BJ37" s="344"/>
      <c r="BK37" s="344"/>
      <c r="BL37" s="344"/>
      <c r="BM37" s="344"/>
      <c r="BN37" s="344"/>
      <c r="BO37" s="344"/>
      <c r="BP37" s="344"/>
      <c r="BQ37" s="344"/>
      <c r="BR37" s="344"/>
      <c r="BS37" s="344"/>
      <c r="BT37" s="344"/>
      <c r="BU37" s="344"/>
      <c r="BV37" s="344"/>
      <c r="BW37" s="344"/>
      <c r="BX37" s="344"/>
      <c r="BY37" s="344"/>
      <c r="BZ37" s="344"/>
      <c r="CA37" s="345"/>
      <c r="CB37" s="157"/>
      <c r="CC37" s="153"/>
      <c r="CF37" s="80" t="s">
        <v>34</v>
      </c>
      <c r="CG37" s="81">
        <f>SUM(CG31:CG36)</f>
        <v>0</v>
      </c>
      <c r="CH37" s="79">
        <f t="shared" si="0"/>
        <v>1</v>
      </c>
      <c r="CI37" s="84" t="str">
        <f t="shared" si="1"/>
        <v/>
      </c>
      <c r="CJ37" s="84" t="str">
        <f t="shared" si="2"/>
        <v/>
      </c>
      <c r="CK37" s="84" t="str">
        <f>IF(AND($CH$37&lt;=11,$CH$37&gt;=7),MID($CG$37,$CH$37-6,1),"")</f>
        <v/>
      </c>
      <c r="CL37" s="84" t="str">
        <f t="shared" si="3"/>
        <v/>
      </c>
      <c r="CM37" s="84" t="str">
        <f t="shared" si="4"/>
        <v/>
      </c>
      <c r="CN37" s="84" t="str">
        <f t="shared" si="5"/>
        <v/>
      </c>
      <c r="CO37" s="84" t="str">
        <f t="shared" si="6"/>
        <v/>
      </c>
      <c r="CP37" s="84" t="str">
        <f t="shared" si="7"/>
        <v/>
      </c>
      <c r="CQ37" s="167" t="str">
        <f t="shared" si="8"/>
        <v>0</v>
      </c>
      <c r="CR37" s="152"/>
      <c r="CS37" s="152"/>
    </row>
    <row r="38" spans="1:97" s="176" customFormat="1" ht="7" customHeight="1" x14ac:dyDescent="0.55000000000000004">
      <c r="A38" s="484"/>
      <c r="B38" s="484"/>
      <c r="C38" s="484"/>
      <c r="D38" s="484"/>
      <c r="E38" s="496"/>
      <c r="F38" s="497"/>
      <c r="G38" s="497"/>
      <c r="H38" s="497"/>
      <c r="I38" s="497"/>
      <c r="J38" s="497"/>
      <c r="K38" s="497"/>
      <c r="L38" s="497"/>
      <c r="M38" s="497"/>
      <c r="N38" s="497"/>
      <c r="O38" s="498"/>
      <c r="P38" s="503"/>
      <c r="Q38" s="504"/>
      <c r="R38" s="504"/>
      <c r="S38" s="504"/>
      <c r="T38" s="504"/>
      <c r="U38" s="504"/>
      <c r="V38" s="504"/>
      <c r="W38" s="504"/>
      <c r="X38" s="483"/>
      <c r="Y38" s="483"/>
      <c r="Z38" s="483"/>
      <c r="AA38" s="483"/>
      <c r="AB38" s="483"/>
      <c r="AC38" s="483"/>
      <c r="AD38" s="483"/>
      <c r="AE38" s="483"/>
      <c r="AF38" s="483"/>
      <c r="AG38" s="483"/>
      <c r="AH38" s="483"/>
      <c r="AI38" s="483"/>
      <c r="AJ38" s="504"/>
      <c r="AK38" s="504"/>
      <c r="AL38" s="504"/>
      <c r="AM38" s="504"/>
      <c r="AN38" s="504"/>
      <c r="AO38" s="504"/>
      <c r="AP38" s="504"/>
      <c r="AQ38" s="504"/>
      <c r="AR38" s="504"/>
      <c r="AS38" s="504"/>
      <c r="AT38" s="504"/>
      <c r="AU38" s="504"/>
      <c r="AV38" s="504"/>
      <c r="AW38" s="504"/>
      <c r="AX38" s="504"/>
      <c r="AY38" s="504"/>
      <c r="AZ38" s="504"/>
      <c r="BA38" s="505"/>
      <c r="BB38" s="573" t="s">
        <v>65</v>
      </c>
      <c r="BC38" s="574"/>
      <c r="BD38" s="574"/>
      <c r="BE38" s="574"/>
      <c r="BF38" s="574"/>
      <c r="BG38" s="574"/>
      <c r="BH38" s="575"/>
      <c r="BI38" s="179"/>
      <c r="BJ38" s="180"/>
      <c r="BK38" s="180"/>
      <c r="BL38" s="181"/>
      <c r="BM38" s="185" t="s">
        <v>641</v>
      </c>
      <c r="BN38" s="183"/>
      <c r="BO38" s="182" t="s">
        <v>640</v>
      </c>
      <c r="BP38" s="183"/>
      <c r="BQ38" s="182" t="s">
        <v>639</v>
      </c>
      <c r="BR38" s="183"/>
      <c r="BS38" s="185" t="s">
        <v>642</v>
      </c>
      <c r="BT38" s="183"/>
      <c r="BU38" s="182" t="s">
        <v>641</v>
      </c>
      <c r="BV38" s="183"/>
      <c r="BW38" s="182" t="s">
        <v>640</v>
      </c>
      <c r="BX38" s="183"/>
      <c r="BY38" s="182" t="s">
        <v>639</v>
      </c>
      <c r="BZ38" s="183"/>
      <c r="CA38" s="184" t="s">
        <v>25</v>
      </c>
      <c r="CB38" s="157"/>
      <c r="CC38" s="153"/>
      <c r="CF38" s="80"/>
      <c r="CG38" s="81"/>
      <c r="CH38" s="79"/>
      <c r="CI38" s="152"/>
      <c r="CJ38" s="152"/>
      <c r="CK38" s="152"/>
      <c r="CL38" s="152"/>
      <c r="CM38" s="152"/>
      <c r="CN38" s="152"/>
      <c r="CO38" s="152"/>
      <c r="CP38" s="152"/>
      <c r="CQ38" s="152"/>
      <c r="CR38" s="152"/>
      <c r="CS38" s="152"/>
    </row>
    <row r="39" spans="1:97" ht="8" customHeight="1" x14ac:dyDescent="0.55000000000000004">
      <c r="A39" s="484"/>
      <c r="B39" s="484"/>
      <c r="C39" s="484"/>
      <c r="D39" s="484"/>
      <c r="E39" s="496"/>
      <c r="F39" s="499"/>
      <c r="G39" s="499"/>
      <c r="H39" s="499"/>
      <c r="I39" s="499"/>
      <c r="J39" s="499"/>
      <c r="K39" s="499"/>
      <c r="L39" s="499"/>
      <c r="M39" s="499"/>
      <c r="N39" s="499"/>
      <c r="O39" s="498"/>
      <c r="P39" s="506"/>
      <c r="Q39" s="483"/>
      <c r="R39" s="483"/>
      <c r="S39" s="483"/>
      <c r="T39" s="483"/>
      <c r="U39" s="483"/>
      <c r="V39" s="483"/>
      <c r="W39" s="483"/>
      <c r="X39" s="483"/>
      <c r="Y39" s="483"/>
      <c r="Z39" s="483"/>
      <c r="AA39" s="483"/>
      <c r="AB39" s="483"/>
      <c r="AC39" s="483"/>
      <c r="AD39" s="483"/>
      <c r="AE39" s="483"/>
      <c r="AF39" s="483"/>
      <c r="AG39" s="483"/>
      <c r="AH39" s="483"/>
      <c r="AI39" s="483"/>
      <c r="AJ39" s="483"/>
      <c r="AK39" s="483"/>
      <c r="AL39" s="483"/>
      <c r="AM39" s="483"/>
      <c r="AN39" s="483"/>
      <c r="AO39" s="483"/>
      <c r="AP39" s="483"/>
      <c r="AQ39" s="483"/>
      <c r="AR39" s="483"/>
      <c r="AS39" s="483"/>
      <c r="AT39" s="483"/>
      <c r="AU39" s="483"/>
      <c r="AV39" s="483"/>
      <c r="AW39" s="483"/>
      <c r="AX39" s="483"/>
      <c r="AY39" s="483"/>
      <c r="AZ39" s="483"/>
      <c r="BA39" s="505"/>
      <c r="BB39" s="429"/>
      <c r="BC39" s="366"/>
      <c r="BD39" s="366"/>
      <c r="BE39" s="366"/>
      <c r="BF39" s="366"/>
      <c r="BG39" s="366"/>
      <c r="BH39" s="367"/>
      <c r="BI39" s="458" t="str">
        <f>$CI$31</f>
        <v/>
      </c>
      <c r="BJ39" s="459"/>
      <c r="BK39" s="337"/>
      <c r="BL39" s="323" t="str">
        <f>$CJ$31</f>
        <v/>
      </c>
      <c r="BM39" s="337"/>
      <c r="BN39" s="323" t="str">
        <f>$CK$31</f>
        <v/>
      </c>
      <c r="BO39" s="339"/>
      <c r="BP39" s="336" t="str">
        <f>$CL$31</f>
        <v/>
      </c>
      <c r="BQ39" s="337"/>
      <c r="BR39" s="323" t="str">
        <f>$CM$31</f>
        <v/>
      </c>
      <c r="BS39" s="337"/>
      <c r="BT39" s="323" t="str">
        <f>$CN$31</f>
        <v/>
      </c>
      <c r="BU39" s="339"/>
      <c r="BV39" s="336" t="str">
        <f>$CO$31</f>
        <v/>
      </c>
      <c r="BW39" s="337"/>
      <c r="BX39" s="323" t="str">
        <f>$CP$31</f>
        <v/>
      </c>
      <c r="BY39" s="337"/>
      <c r="BZ39" s="323" t="str">
        <f>$CQ$31</f>
        <v>0</v>
      </c>
      <c r="CA39" s="324"/>
      <c r="CB39" s="157"/>
      <c r="CC39" s="153"/>
      <c r="CR39" s="152"/>
      <c r="CS39" s="152"/>
    </row>
    <row r="40" spans="1:97" ht="7.5" customHeight="1" x14ac:dyDescent="0.2">
      <c r="A40" s="484"/>
      <c r="B40" s="484"/>
      <c r="C40" s="484"/>
      <c r="D40" s="484"/>
      <c r="E40" s="496"/>
      <c r="F40" s="499"/>
      <c r="G40" s="499"/>
      <c r="H40" s="499"/>
      <c r="I40" s="499"/>
      <c r="J40" s="499"/>
      <c r="K40" s="499"/>
      <c r="L40" s="499"/>
      <c r="M40" s="499"/>
      <c r="N40" s="499"/>
      <c r="O40" s="498"/>
      <c r="P40" s="507"/>
      <c r="Q40" s="508"/>
      <c r="R40" s="508"/>
      <c r="S40" s="508"/>
      <c r="T40" s="508"/>
      <c r="U40" s="508"/>
      <c r="V40" s="508"/>
      <c r="W40" s="508"/>
      <c r="X40" s="508"/>
      <c r="Y40" s="508"/>
      <c r="Z40" s="508"/>
      <c r="AA40" s="508"/>
      <c r="AB40" s="508"/>
      <c r="AC40" s="508"/>
      <c r="AD40" s="508"/>
      <c r="AE40" s="508"/>
      <c r="AF40" s="508"/>
      <c r="AG40" s="508"/>
      <c r="AH40" s="508"/>
      <c r="AI40" s="508"/>
      <c r="AJ40" s="508"/>
      <c r="AK40" s="508"/>
      <c r="AL40" s="508"/>
      <c r="AM40" s="508"/>
      <c r="AN40" s="508"/>
      <c r="AO40" s="508"/>
      <c r="AP40" s="508"/>
      <c r="AQ40" s="508"/>
      <c r="AR40" s="508"/>
      <c r="AS40" s="508"/>
      <c r="AT40" s="508"/>
      <c r="AU40" s="508"/>
      <c r="AV40" s="508"/>
      <c r="AW40" s="508"/>
      <c r="AX40" s="508"/>
      <c r="AY40" s="508"/>
      <c r="AZ40" s="508"/>
      <c r="BA40" s="509"/>
      <c r="BB40" s="424" t="s">
        <v>66</v>
      </c>
      <c r="BC40" s="363"/>
      <c r="BD40" s="363"/>
      <c r="BE40" s="363"/>
      <c r="BF40" s="363"/>
      <c r="BG40" s="363"/>
      <c r="BH40" s="364"/>
      <c r="BI40" s="370" t="str">
        <f>$CI$33</f>
        <v/>
      </c>
      <c r="BJ40" s="371"/>
      <c r="BK40" s="347"/>
      <c r="BL40" s="331" t="str">
        <f>$CJ$33</f>
        <v/>
      </c>
      <c r="BM40" s="347"/>
      <c r="BN40" s="331" t="str">
        <f>$CK$33</f>
        <v/>
      </c>
      <c r="BO40" s="332"/>
      <c r="BP40" s="335" t="str">
        <f>$CL$33</f>
        <v/>
      </c>
      <c r="BQ40" s="325"/>
      <c r="BR40" s="321" t="str">
        <f>$CM$33</f>
        <v/>
      </c>
      <c r="BS40" s="325"/>
      <c r="BT40" s="321" t="str">
        <f>$CN$33</f>
        <v/>
      </c>
      <c r="BU40" s="338"/>
      <c r="BV40" s="335" t="str">
        <f>$CO$33</f>
        <v/>
      </c>
      <c r="BW40" s="325"/>
      <c r="BX40" s="321" t="str">
        <f>$CP$33</f>
        <v/>
      </c>
      <c r="BY40" s="325"/>
      <c r="BZ40" s="321" t="str">
        <f>$CQ$33</f>
        <v>0</v>
      </c>
      <c r="CA40" s="322"/>
      <c r="CB40" s="158"/>
      <c r="CC40" s="153"/>
      <c r="CR40" s="152"/>
      <c r="CS40" s="152"/>
    </row>
    <row r="41" spans="1:97" ht="7.5" customHeight="1" x14ac:dyDescent="0.2">
      <c r="A41" s="484"/>
      <c r="B41" s="484"/>
      <c r="C41" s="484"/>
      <c r="D41" s="484"/>
      <c r="E41" s="496"/>
      <c r="F41" s="499"/>
      <c r="G41" s="499"/>
      <c r="H41" s="499"/>
      <c r="I41" s="499"/>
      <c r="J41" s="499"/>
      <c r="K41" s="499"/>
      <c r="L41" s="499"/>
      <c r="M41" s="499"/>
      <c r="N41" s="499"/>
      <c r="O41" s="498"/>
      <c r="P41" s="10" t="s">
        <v>67</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2"/>
      <c r="BB41" s="429"/>
      <c r="BC41" s="366"/>
      <c r="BD41" s="366"/>
      <c r="BE41" s="366"/>
      <c r="BF41" s="366"/>
      <c r="BG41" s="366"/>
      <c r="BH41" s="367"/>
      <c r="BI41" s="372"/>
      <c r="BJ41" s="373"/>
      <c r="BK41" s="374"/>
      <c r="BL41" s="333"/>
      <c r="BM41" s="374"/>
      <c r="BN41" s="333"/>
      <c r="BO41" s="334"/>
      <c r="BP41" s="336"/>
      <c r="BQ41" s="337"/>
      <c r="BR41" s="323"/>
      <c r="BS41" s="337"/>
      <c r="BT41" s="323"/>
      <c r="BU41" s="339"/>
      <c r="BV41" s="336"/>
      <c r="BW41" s="337"/>
      <c r="BX41" s="323"/>
      <c r="BY41" s="337"/>
      <c r="BZ41" s="323"/>
      <c r="CA41" s="324"/>
      <c r="CB41" s="158"/>
      <c r="CC41" s="153"/>
      <c r="CR41" s="152"/>
      <c r="CS41" s="152"/>
    </row>
    <row r="42" spans="1:97" ht="15" customHeight="1" x14ac:dyDescent="0.2">
      <c r="A42" s="484"/>
      <c r="B42" s="484"/>
      <c r="C42" s="484"/>
      <c r="D42" s="484"/>
      <c r="E42" s="496"/>
      <c r="F42" s="499"/>
      <c r="G42" s="499"/>
      <c r="H42" s="499"/>
      <c r="I42" s="499"/>
      <c r="J42" s="499"/>
      <c r="K42" s="499"/>
      <c r="L42" s="499"/>
      <c r="M42" s="499"/>
      <c r="N42" s="499"/>
      <c r="O42" s="498"/>
      <c r="P42" s="13"/>
      <c r="Q42" s="14"/>
      <c r="R42" s="444" t="str">
        <f>IF(R11="","",R11)</f>
        <v/>
      </c>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c r="AQ42" s="444"/>
      <c r="AR42" s="444"/>
      <c r="AS42" s="444"/>
      <c r="AT42" s="444"/>
      <c r="AU42" s="444"/>
      <c r="AV42" s="444"/>
      <c r="AW42" s="444"/>
      <c r="AX42" s="444"/>
      <c r="AY42" s="14"/>
      <c r="AZ42" s="14"/>
      <c r="BA42" s="15"/>
      <c r="BB42" s="445" t="s">
        <v>68</v>
      </c>
      <c r="BC42" s="446"/>
      <c r="BD42" s="448" t="s">
        <v>69</v>
      </c>
      <c r="BE42" s="448"/>
      <c r="BF42" s="449"/>
      <c r="BG42" s="449"/>
      <c r="BH42" s="450"/>
      <c r="BI42" s="375" t="str">
        <f>$CI$34</f>
        <v/>
      </c>
      <c r="BJ42" s="376"/>
      <c r="BK42" s="377"/>
      <c r="BL42" s="352" t="str">
        <f>$CJ$34</f>
        <v/>
      </c>
      <c r="BM42" s="377"/>
      <c r="BN42" s="352" t="str">
        <f>$CK$34</f>
        <v/>
      </c>
      <c r="BO42" s="353"/>
      <c r="BP42" s="354" t="str">
        <f>$CL$34</f>
        <v/>
      </c>
      <c r="BQ42" s="355"/>
      <c r="BR42" s="356" t="str">
        <f>$CM$34</f>
        <v/>
      </c>
      <c r="BS42" s="355"/>
      <c r="BT42" s="356" t="str">
        <f>$CN$34</f>
        <v/>
      </c>
      <c r="BU42" s="357"/>
      <c r="BV42" s="354" t="str">
        <f>$CO$34</f>
        <v/>
      </c>
      <c r="BW42" s="355"/>
      <c r="BX42" s="356" t="str">
        <f>$CP$34</f>
        <v/>
      </c>
      <c r="BY42" s="355"/>
      <c r="BZ42" s="358">
        <f>CQ65</f>
        <v>0</v>
      </c>
      <c r="CA42" s="359"/>
      <c r="CB42" s="158"/>
      <c r="CC42" s="153"/>
      <c r="CR42" s="152"/>
      <c r="CS42" s="152"/>
    </row>
    <row r="43" spans="1:97" ht="7.5" customHeight="1" x14ac:dyDescent="0.2">
      <c r="A43" s="484"/>
      <c r="B43" s="484"/>
      <c r="C43" s="484"/>
      <c r="D43" s="484"/>
      <c r="E43" s="496"/>
      <c r="F43" s="499"/>
      <c r="G43" s="499"/>
      <c r="H43" s="499"/>
      <c r="I43" s="499"/>
      <c r="J43" s="499"/>
      <c r="K43" s="499"/>
      <c r="L43" s="499"/>
      <c r="M43" s="499"/>
      <c r="N43" s="499"/>
      <c r="O43" s="498"/>
      <c r="P43" s="13"/>
      <c r="Q43" s="1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c r="AQ43" s="444"/>
      <c r="AR43" s="444"/>
      <c r="AS43" s="444"/>
      <c r="AT43" s="444"/>
      <c r="AU43" s="444"/>
      <c r="AV43" s="444"/>
      <c r="AW43" s="444"/>
      <c r="AX43" s="444"/>
      <c r="AY43" s="14"/>
      <c r="AZ43" s="14"/>
      <c r="BA43" s="15"/>
      <c r="BB43" s="447"/>
      <c r="BC43" s="446"/>
      <c r="BD43" s="362" t="s">
        <v>70</v>
      </c>
      <c r="BE43" s="363"/>
      <c r="BF43" s="363"/>
      <c r="BG43" s="363"/>
      <c r="BH43" s="364"/>
      <c r="BI43" s="370" t="str">
        <f>$CI$35</f>
        <v/>
      </c>
      <c r="BJ43" s="371"/>
      <c r="BK43" s="347"/>
      <c r="BL43" s="331" t="str">
        <f>$CJ$35</f>
        <v/>
      </c>
      <c r="BM43" s="347"/>
      <c r="BN43" s="331" t="str">
        <f>$CK$35</f>
        <v/>
      </c>
      <c r="BO43" s="332"/>
      <c r="BP43" s="335" t="str">
        <f>$CL$35</f>
        <v/>
      </c>
      <c r="BQ43" s="325"/>
      <c r="BR43" s="321" t="str">
        <f>$CM$35</f>
        <v/>
      </c>
      <c r="BS43" s="325"/>
      <c r="BT43" s="321" t="str">
        <f>$CN$35</f>
        <v/>
      </c>
      <c r="BU43" s="338"/>
      <c r="BV43" s="335" t="str">
        <f>$CO$35</f>
        <v/>
      </c>
      <c r="BW43" s="325"/>
      <c r="BX43" s="321" t="str">
        <f>$CP$35</f>
        <v/>
      </c>
      <c r="BY43" s="325"/>
      <c r="BZ43" s="321" t="str">
        <f>$CQ$35</f>
        <v>0</v>
      </c>
      <c r="CA43" s="322"/>
      <c r="CB43" s="158"/>
      <c r="CC43" s="153"/>
      <c r="CR43" s="152"/>
      <c r="CS43" s="152"/>
    </row>
    <row r="44" spans="1:97" ht="7.5" customHeight="1" x14ac:dyDescent="0.2">
      <c r="A44" s="484"/>
      <c r="B44" s="484"/>
      <c r="C44" s="484"/>
      <c r="D44" s="484"/>
      <c r="E44" s="496"/>
      <c r="F44" s="499"/>
      <c r="G44" s="499"/>
      <c r="H44" s="499"/>
      <c r="I44" s="499"/>
      <c r="J44" s="499"/>
      <c r="K44" s="499"/>
      <c r="L44" s="499"/>
      <c r="M44" s="499"/>
      <c r="N44" s="499"/>
      <c r="O44" s="498"/>
      <c r="P44" s="13"/>
      <c r="Q44" s="14"/>
      <c r="R44" s="444"/>
      <c r="S44" s="444"/>
      <c r="T44" s="444"/>
      <c r="U44" s="444"/>
      <c r="V44" s="444"/>
      <c r="W44" s="444"/>
      <c r="X44" s="444"/>
      <c r="Y44" s="444"/>
      <c r="Z44" s="444"/>
      <c r="AA44" s="444"/>
      <c r="AB44" s="444"/>
      <c r="AC44" s="444"/>
      <c r="AD44" s="444"/>
      <c r="AE44" s="444"/>
      <c r="AF44" s="444"/>
      <c r="AG44" s="444"/>
      <c r="AH44" s="444"/>
      <c r="AI44" s="444"/>
      <c r="AJ44" s="444"/>
      <c r="AK44" s="444"/>
      <c r="AL44" s="444"/>
      <c r="AM44" s="444"/>
      <c r="AN44" s="444"/>
      <c r="AO44" s="444"/>
      <c r="AP44" s="444"/>
      <c r="AQ44" s="444"/>
      <c r="AR44" s="444"/>
      <c r="AS44" s="444"/>
      <c r="AT44" s="444"/>
      <c r="AU44" s="444"/>
      <c r="AV44" s="444"/>
      <c r="AW44" s="444"/>
      <c r="AX44" s="444"/>
      <c r="AY44" s="14"/>
      <c r="AZ44" s="14"/>
      <c r="BA44" s="15"/>
      <c r="BB44" s="447"/>
      <c r="BC44" s="446"/>
      <c r="BD44" s="365"/>
      <c r="BE44" s="366"/>
      <c r="BF44" s="366"/>
      <c r="BG44" s="366"/>
      <c r="BH44" s="367"/>
      <c r="BI44" s="372"/>
      <c r="BJ44" s="373"/>
      <c r="BK44" s="374"/>
      <c r="BL44" s="333"/>
      <c r="BM44" s="374"/>
      <c r="BN44" s="333"/>
      <c r="BO44" s="334"/>
      <c r="BP44" s="336"/>
      <c r="BQ44" s="337"/>
      <c r="BR44" s="323"/>
      <c r="BS44" s="337"/>
      <c r="BT44" s="323"/>
      <c r="BU44" s="339"/>
      <c r="BV44" s="336"/>
      <c r="BW44" s="337"/>
      <c r="BX44" s="323"/>
      <c r="BY44" s="337"/>
      <c r="BZ44" s="323"/>
      <c r="CA44" s="324"/>
      <c r="CB44" s="158"/>
      <c r="CC44" s="153"/>
      <c r="CR44" s="152"/>
      <c r="CS44" s="152"/>
    </row>
    <row r="45" spans="1:97" ht="7.5" customHeight="1" x14ac:dyDescent="0.2">
      <c r="A45" s="484"/>
      <c r="B45" s="484"/>
      <c r="C45" s="484"/>
      <c r="D45" s="484"/>
      <c r="E45" s="496"/>
      <c r="F45" s="499"/>
      <c r="G45" s="499"/>
      <c r="H45" s="499"/>
      <c r="I45" s="499"/>
      <c r="J45" s="499"/>
      <c r="K45" s="499"/>
      <c r="L45" s="499"/>
      <c r="M45" s="499"/>
      <c r="N45" s="499"/>
      <c r="O45" s="498"/>
      <c r="P45" s="13"/>
      <c r="Q45" s="14"/>
      <c r="R45" s="444"/>
      <c r="S45" s="444"/>
      <c r="T45" s="444"/>
      <c r="U45" s="444"/>
      <c r="V45" s="444"/>
      <c r="W45" s="444"/>
      <c r="X45" s="444"/>
      <c r="Y45" s="444"/>
      <c r="Z45" s="444"/>
      <c r="AA45" s="444"/>
      <c r="AB45" s="444"/>
      <c r="AC45" s="444"/>
      <c r="AD45" s="444"/>
      <c r="AE45" s="444"/>
      <c r="AF45" s="444"/>
      <c r="AG45" s="444"/>
      <c r="AH45" s="444"/>
      <c r="AI45" s="444"/>
      <c r="AJ45" s="444"/>
      <c r="AK45" s="444"/>
      <c r="AL45" s="444"/>
      <c r="AM45" s="444"/>
      <c r="AN45" s="444"/>
      <c r="AO45" s="444"/>
      <c r="AP45" s="444"/>
      <c r="AQ45" s="444"/>
      <c r="AR45" s="444"/>
      <c r="AS45" s="444"/>
      <c r="AT45" s="444"/>
      <c r="AU45" s="444"/>
      <c r="AV45" s="444"/>
      <c r="AW45" s="444"/>
      <c r="AX45" s="444"/>
      <c r="AY45" s="14"/>
      <c r="AZ45" s="14"/>
      <c r="BA45" s="15"/>
      <c r="BB45" s="447"/>
      <c r="BC45" s="446"/>
      <c r="BD45" s="362" t="s">
        <v>75</v>
      </c>
      <c r="BE45" s="363"/>
      <c r="BF45" s="363"/>
      <c r="BG45" s="363"/>
      <c r="BH45" s="364"/>
      <c r="BI45" s="370" t="str">
        <f>$CI$36</f>
        <v/>
      </c>
      <c r="BJ45" s="371"/>
      <c r="BK45" s="347"/>
      <c r="BL45" s="331" t="str">
        <f>$CJ$36</f>
        <v/>
      </c>
      <c r="BM45" s="347"/>
      <c r="BN45" s="331" t="str">
        <f>$CK$36</f>
        <v/>
      </c>
      <c r="BO45" s="332"/>
      <c r="BP45" s="335" t="str">
        <f>$CL$36</f>
        <v/>
      </c>
      <c r="BQ45" s="325"/>
      <c r="BR45" s="321" t="str">
        <f>$CM$36</f>
        <v/>
      </c>
      <c r="BS45" s="325"/>
      <c r="BT45" s="321" t="str">
        <f>$CN$36</f>
        <v/>
      </c>
      <c r="BU45" s="338"/>
      <c r="BV45" s="335" t="str">
        <f>$CO$36</f>
        <v/>
      </c>
      <c r="BW45" s="325"/>
      <c r="BX45" s="321" t="str">
        <f>$CP$36</f>
        <v/>
      </c>
      <c r="BY45" s="325"/>
      <c r="BZ45" s="321" t="str">
        <f>$CQ$36</f>
        <v>0</v>
      </c>
      <c r="CA45" s="322"/>
      <c r="CB45" s="158"/>
      <c r="CC45" s="153"/>
      <c r="CR45" s="152"/>
      <c r="CS45" s="152"/>
    </row>
    <row r="46" spans="1:97" ht="7.5" customHeight="1" x14ac:dyDescent="0.2">
      <c r="A46" s="484"/>
      <c r="B46" s="484"/>
      <c r="C46" s="484"/>
      <c r="D46" s="484"/>
      <c r="E46" s="496"/>
      <c r="F46" s="499"/>
      <c r="G46" s="499"/>
      <c r="H46" s="499"/>
      <c r="I46" s="499"/>
      <c r="J46" s="499"/>
      <c r="K46" s="499"/>
      <c r="L46" s="499"/>
      <c r="M46" s="499"/>
      <c r="N46" s="499"/>
      <c r="O46" s="498"/>
      <c r="P46" s="13"/>
      <c r="Q46" s="14"/>
      <c r="R46" s="444"/>
      <c r="S46" s="444"/>
      <c r="T46" s="444"/>
      <c r="U46" s="444"/>
      <c r="V46" s="444"/>
      <c r="W46" s="444"/>
      <c r="X46" s="444"/>
      <c r="Y46" s="444"/>
      <c r="Z46" s="444"/>
      <c r="AA46" s="444"/>
      <c r="AB46" s="444"/>
      <c r="AC46" s="444"/>
      <c r="AD46" s="444"/>
      <c r="AE46" s="444"/>
      <c r="AF46" s="444"/>
      <c r="AG46" s="444"/>
      <c r="AH46" s="444"/>
      <c r="AI46" s="444"/>
      <c r="AJ46" s="444"/>
      <c r="AK46" s="444"/>
      <c r="AL46" s="444"/>
      <c r="AM46" s="444"/>
      <c r="AN46" s="444"/>
      <c r="AO46" s="444"/>
      <c r="AP46" s="444"/>
      <c r="AQ46" s="444"/>
      <c r="AR46" s="444"/>
      <c r="AS46" s="444"/>
      <c r="AT46" s="444"/>
      <c r="AU46" s="444"/>
      <c r="AV46" s="444"/>
      <c r="AW46" s="444"/>
      <c r="AX46" s="444"/>
      <c r="AY46" s="14"/>
      <c r="AZ46" s="14"/>
      <c r="BA46" s="15"/>
      <c r="BB46" s="447"/>
      <c r="BC46" s="446"/>
      <c r="BD46" s="365"/>
      <c r="BE46" s="366"/>
      <c r="BF46" s="366"/>
      <c r="BG46" s="366"/>
      <c r="BH46" s="367"/>
      <c r="BI46" s="372"/>
      <c r="BJ46" s="373"/>
      <c r="BK46" s="374"/>
      <c r="BL46" s="333"/>
      <c r="BM46" s="374"/>
      <c r="BN46" s="333"/>
      <c r="BO46" s="334"/>
      <c r="BP46" s="336"/>
      <c r="BQ46" s="337"/>
      <c r="BR46" s="323"/>
      <c r="BS46" s="337"/>
      <c r="BT46" s="323"/>
      <c r="BU46" s="339"/>
      <c r="BV46" s="336"/>
      <c r="BW46" s="337"/>
      <c r="BX46" s="323"/>
      <c r="BY46" s="337"/>
      <c r="BZ46" s="323"/>
      <c r="CA46" s="324"/>
      <c r="CB46" s="158"/>
      <c r="CC46" s="153"/>
      <c r="CR46" s="152"/>
      <c r="CS46" s="152"/>
    </row>
    <row r="47" spans="1:97" ht="7.5" customHeight="1" x14ac:dyDescent="0.2">
      <c r="A47" s="484"/>
      <c r="B47" s="484"/>
      <c r="C47" s="484"/>
      <c r="D47" s="484"/>
      <c r="E47" s="496"/>
      <c r="F47" s="499"/>
      <c r="G47" s="499"/>
      <c r="H47" s="499"/>
      <c r="I47" s="499"/>
      <c r="J47" s="499"/>
      <c r="K47" s="499"/>
      <c r="L47" s="499"/>
      <c r="M47" s="499"/>
      <c r="N47" s="499"/>
      <c r="O47" s="498"/>
      <c r="P47" s="16"/>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8"/>
      <c r="BB47" s="424" t="s">
        <v>79</v>
      </c>
      <c r="BC47" s="363"/>
      <c r="BD47" s="363"/>
      <c r="BE47" s="363"/>
      <c r="BF47" s="363"/>
      <c r="BG47" s="363"/>
      <c r="BH47" s="364"/>
      <c r="BI47" s="370" t="str">
        <f>$CI$37</f>
        <v/>
      </c>
      <c r="BJ47" s="371"/>
      <c r="BK47" s="347"/>
      <c r="BL47" s="331" t="str">
        <f>$CJ$37</f>
        <v/>
      </c>
      <c r="BM47" s="347"/>
      <c r="BN47" s="331" t="str">
        <f>$CK$37</f>
        <v/>
      </c>
      <c r="BO47" s="332"/>
      <c r="BP47" s="346" t="str">
        <f>$CL$37</f>
        <v/>
      </c>
      <c r="BQ47" s="347"/>
      <c r="BR47" s="321" t="str">
        <f>$CM$37</f>
        <v/>
      </c>
      <c r="BS47" s="325"/>
      <c r="BT47" s="321" t="str">
        <f>$CN$37</f>
        <v/>
      </c>
      <c r="BU47" s="338"/>
      <c r="BV47" s="335" t="str">
        <f>$CO$37</f>
        <v/>
      </c>
      <c r="BW47" s="325"/>
      <c r="BX47" s="321" t="str">
        <f>$CP$37</f>
        <v/>
      </c>
      <c r="BY47" s="325"/>
      <c r="BZ47" s="321" t="str">
        <f>$CQ$37</f>
        <v>0</v>
      </c>
      <c r="CA47" s="322"/>
      <c r="CB47" s="158"/>
      <c r="CC47" s="153"/>
      <c r="CR47" s="152"/>
      <c r="CS47" s="152"/>
    </row>
    <row r="48" spans="1:97" ht="7.5" customHeight="1" x14ac:dyDescent="0.15">
      <c r="A48" s="484"/>
      <c r="B48" s="484"/>
      <c r="C48" s="484"/>
      <c r="D48" s="484"/>
      <c r="E48" s="496"/>
      <c r="F48" s="499"/>
      <c r="G48" s="499"/>
      <c r="H48" s="499"/>
      <c r="I48" s="499"/>
      <c r="J48" s="499"/>
      <c r="K48" s="499"/>
      <c r="L48" s="499"/>
      <c r="M48" s="499"/>
      <c r="N48" s="499"/>
      <c r="O48" s="498"/>
      <c r="P48" s="10" t="s">
        <v>80</v>
      </c>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20"/>
      <c r="BB48" s="454"/>
      <c r="BC48" s="455"/>
      <c r="BD48" s="455"/>
      <c r="BE48" s="455"/>
      <c r="BF48" s="455"/>
      <c r="BG48" s="455"/>
      <c r="BH48" s="456"/>
      <c r="BI48" s="536"/>
      <c r="BJ48" s="537"/>
      <c r="BK48" s="349"/>
      <c r="BL48" s="453"/>
      <c r="BM48" s="349"/>
      <c r="BN48" s="453"/>
      <c r="BO48" s="457"/>
      <c r="BP48" s="348"/>
      <c r="BQ48" s="349"/>
      <c r="BR48" s="326"/>
      <c r="BS48" s="327"/>
      <c r="BT48" s="326"/>
      <c r="BU48" s="350"/>
      <c r="BV48" s="351"/>
      <c r="BW48" s="327"/>
      <c r="BX48" s="326"/>
      <c r="BY48" s="327"/>
      <c r="BZ48" s="326"/>
      <c r="CA48" s="328"/>
      <c r="CB48" s="159"/>
      <c r="CC48" s="153"/>
      <c r="CR48" s="152"/>
      <c r="CS48" s="152"/>
    </row>
    <row r="49" spans="1:97" ht="15" customHeight="1" x14ac:dyDescent="0.15">
      <c r="A49" s="484"/>
      <c r="B49" s="484"/>
      <c r="C49" s="484"/>
      <c r="D49" s="484"/>
      <c r="E49" s="496"/>
      <c r="F49" s="499"/>
      <c r="G49" s="499"/>
      <c r="H49" s="499"/>
      <c r="I49" s="499"/>
      <c r="J49" s="499"/>
      <c r="K49" s="499"/>
      <c r="L49" s="499"/>
      <c r="M49" s="499"/>
      <c r="N49" s="499"/>
      <c r="O49" s="498"/>
      <c r="P49" s="23"/>
      <c r="Q49" s="24"/>
      <c r="R49" s="460" t="str">
        <f>IF(R18="","",R18)</f>
        <v/>
      </c>
      <c r="S49" s="460"/>
      <c r="T49" s="460"/>
      <c r="U49" s="460"/>
      <c r="V49" s="460"/>
      <c r="W49" s="460"/>
      <c r="X49" s="460"/>
      <c r="Y49" s="460"/>
      <c r="Z49" s="460"/>
      <c r="AA49" s="460"/>
      <c r="AB49" s="460"/>
      <c r="AC49" s="460"/>
      <c r="AD49" s="460"/>
      <c r="AE49" s="460"/>
      <c r="AF49" s="460"/>
      <c r="AG49" s="460"/>
      <c r="AH49" s="460"/>
      <c r="AI49" s="460"/>
      <c r="AJ49" s="460"/>
      <c r="AK49" s="460"/>
      <c r="AL49" s="460"/>
      <c r="AM49" s="460"/>
      <c r="AN49" s="460"/>
      <c r="AO49" s="460"/>
      <c r="AP49" s="460"/>
      <c r="AQ49" s="460"/>
      <c r="AR49" s="460"/>
      <c r="AS49" s="460"/>
      <c r="AT49" s="460"/>
      <c r="AU49" s="460"/>
      <c r="AV49" s="460"/>
      <c r="AW49" s="460"/>
      <c r="AX49" s="460"/>
      <c r="AY49" s="38"/>
      <c r="AZ49" s="38"/>
      <c r="BA49" s="25"/>
      <c r="BB49" s="461" t="s">
        <v>81</v>
      </c>
      <c r="BC49" s="462"/>
      <c r="BD49" s="462"/>
      <c r="BE49" s="462"/>
      <c r="BF49" s="462"/>
      <c r="BG49" s="462"/>
      <c r="BH49" s="463"/>
      <c r="BI49" s="464" t="str">
        <f>BI18</f>
        <v/>
      </c>
      <c r="BJ49" s="465"/>
      <c r="BK49" s="465"/>
      <c r="BL49" s="465"/>
      <c r="BM49" s="465"/>
      <c r="BN49" s="465"/>
      <c r="BO49" s="465"/>
      <c r="BP49" s="465"/>
      <c r="BQ49" s="465"/>
      <c r="BR49" s="465"/>
      <c r="BS49" s="465"/>
      <c r="BT49" s="465"/>
      <c r="BU49" s="465"/>
      <c r="BV49" s="465"/>
      <c r="BW49" s="465"/>
      <c r="BX49" s="465"/>
      <c r="BY49" s="465"/>
      <c r="BZ49" s="465"/>
      <c r="CA49" s="466"/>
      <c r="CB49" s="159"/>
      <c r="CC49" s="153"/>
      <c r="CR49" s="152"/>
      <c r="CS49" s="152"/>
    </row>
    <row r="50" spans="1:97" ht="9.75" customHeight="1" x14ac:dyDescent="0.55000000000000004">
      <c r="A50" s="484"/>
      <c r="B50" s="484"/>
      <c r="C50" s="484"/>
      <c r="D50" s="484"/>
      <c r="E50" s="496"/>
      <c r="F50" s="499"/>
      <c r="G50" s="499"/>
      <c r="H50" s="499"/>
      <c r="I50" s="499"/>
      <c r="J50" s="499"/>
      <c r="K50" s="499"/>
      <c r="L50" s="499"/>
      <c r="M50" s="499"/>
      <c r="N50" s="499"/>
      <c r="O50" s="498"/>
      <c r="P50" s="26"/>
      <c r="Q50" s="27"/>
      <c r="R50" s="460" t="str">
        <f>IF(R19="","",R19)</f>
        <v/>
      </c>
      <c r="S50" s="460"/>
      <c r="T50" s="460"/>
      <c r="U50" s="460"/>
      <c r="V50" s="460"/>
      <c r="W50" s="460"/>
      <c r="X50" s="460"/>
      <c r="Y50" s="460"/>
      <c r="Z50" s="460"/>
      <c r="AA50" s="460"/>
      <c r="AB50" s="460"/>
      <c r="AC50" s="460"/>
      <c r="AD50" s="460"/>
      <c r="AE50" s="460"/>
      <c r="AF50" s="460"/>
      <c r="AG50" s="460"/>
      <c r="AH50" s="460"/>
      <c r="AI50" s="460"/>
      <c r="AJ50" s="460"/>
      <c r="AK50" s="460"/>
      <c r="AL50" s="460"/>
      <c r="AM50" s="460"/>
      <c r="AN50" s="460"/>
      <c r="AO50" s="460"/>
      <c r="AP50" s="460"/>
      <c r="AQ50" s="460"/>
      <c r="AR50" s="460"/>
      <c r="AS50" s="460"/>
      <c r="AT50" s="460"/>
      <c r="AU50" s="460"/>
      <c r="AV50" s="460"/>
      <c r="AW50" s="460"/>
      <c r="AX50" s="488" t="s">
        <v>82</v>
      </c>
      <c r="AY50" s="488"/>
      <c r="AZ50" s="488"/>
      <c r="BA50" s="27"/>
      <c r="BB50" s="490" t="s">
        <v>83</v>
      </c>
      <c r="BC50" s="491"/>
      <c r="BD50" s="491"/>
      <c r="BE50" s="491"/>
      <c r="BF50" s="491"/>
      <c r="BG50" s="491"/>
      <c r="BH50" s="491"/>
      <c r="BI50" s="491"/>
      <c r="BJ50" s="491"/>
      <c r="BK50" s="491"/>
      <c r="BL50" s="491"/>
      <c r="BM50" s="491"/>
      <c r="BN50" s="492"/>
      <c r="BO50" s="329" t="s">
        <v>84</v>
      </c>
      <c r="BP50" s="329"/>
      <c r="BQ50" s="329"/>
      <c r="BR50" s="329"/>
      <c r="BS50" s="329"/>
      <c r="BT50" s="329"/>
      <c r="BU50" s="329"/>
      <c r="BV50" s="329"/>
      <c r="BW50" s="329"/>
      <c r="BX50" s="329"/>
      <c r="BY50" s="329"/>
      <c r="BZ50" s="329"/>
      <c r="CA50" s="330"/>
      <c r="CB50" s="153"/>
      <c r="CC50" s="153"/>
      <c r="CR50" s="152"/>
      <c r="CS50" s="152"/>
    </row>
    <row r="51" spans="1:97" ht="9.75" customHeight="1" x14ac:dyDescent="0.55000000000000004">
      <c r="A51" s="484"/>
      <c r="B51" s="484"/>
      <c r="C51" s="484"/>
      <c r="D51" s="484"/>
      <c r="E51" s="496"/>
      <c r="F51" s="499"/>
      <c r="G51" s="499"/>
      <c r="H51" s="499"/>
      <c r="I51" s="499"/>
      <c r="J51" s="499"/>
      <c r="K51" s="499"/>
      <c r="L51" s="499"/>
      <c r="M51" s="499"/>
      <c r="N51" s="499"/>
      <c r="O51" s="498"/>
      <c r="P51" s="26"/>
      <c r="Q51" s="27"/>
      <c r="R51" s="467"/>
      <c r="S51" s="467"/>
      <c r="T51" s="467"/>
      <c r="U51" s="467"/>
      <c r="V51" s="467"/>
      <c r="W51" s="467"/>
      <c r="X51" s="467"/>
      <c r="Y51" s="467"/>
      <c r="Z51" s="467"/>
      <c r="AA51" s="467"/>
      <c r="AB51" s="467"/>
      <c r="AC51" s="467"/>
      <c r="AD51" s="467"/>
      <c r="AE51" s="467"/>
      <c r="AF51" s="467"/>
      <c r="AG51" s="467"/>
      <c r="AH51" s="467"/>
      <c r="AI51" s="467"/>
      <c r="AJ51" s="467"/>
      <c r="AK51" s="467"/>
      <c r="AL51" s="467"/>
      <c r="AM51" s="467"/>
      <c r="AN51" s="467"/>
      <c r="AO51" s="467"/>
      <c r="AP51" s="467"/>
      <c r="AQ51" s="467"/>
      <c r="AR51" s="467"/>
      <c r="AS51" s="467"/>
      <c r="AT51" s="467"/>
      <c r="AU51" s="467"/>
      <c r="AV51" s="467"/>
      <c r="AW51" s="467"/>
      <c r="AX51" s="489"/>
      <c r="AY51" s="489"/>
      <c r="AZ51" s="489"/>
      <c r="BA51" s="27"/>
      <c r="BB51" s="474" t="s">
        <v>85</v>
      </c>
      <c r="BC51" s="475"/>
      <c r="BD51" s="475"/>
      <c r="BE51" s="475"/>
      <c r="BF51" s="475"/>
      <c r="BG51" s="475"/>
      <c r="BH51" s="475"/>
      <c r="BI51" s="475"/>
      <c r="BJ51" s="475"/>
      <c r="BK51" s="475"/>
      <c r="BL51" s="475"/>
      <c r="BM51" s="475"/>
      <c r="BN51" s="582"/>
      <c r="BO51" s="320" t="s">
        <v>86</v>
      </c>
      <c r="BP51" s="428"/>
      <c r="BQ51" s="428"/>
      <c r="BR51" s="428"/>
      <c r="BS51" s="428"/>
      <c r="BT51" s="428"/>
      <c r="BU51" s="428"/>
      <c r="BV51" s="428"/>
      <c r="BW51" s="428"/>
      <c r="BX51" s="428"/>
      <c r="BY51" s="428"/>
      <c r="BZ51" s="428"/>
      <c r="CA51" s="479"/>
      <c r="CB51" s="153"/>
      <c r="CC51" s="153"/>
      <c r="CR51" s="152"/>
      <c r="CS51" s="152"/>
    </row>
    <row r="52" spans="1:97" ht="9.65" customHeight="1" x14ac:dyDescent="0.55000000000000004">
      <c r="A52" s="484"/>
      <c r="B52" s="484"/>
      <c r="C52" s="484"/>
      <c r="D52" s="484"/>
      <c r="E52" s="496"/>
      <c r="F52" s="499"/>
      <c r="G52" s="499"/>
      <c r="H52" s="499"/>
      <c r="I52" s="499"/>
      <c r="J52" s="499"/>
      <c r="K52" s="499"/>
      <c r="L52" s="499"/>
      <c r="M52" s="499"/>
      <c r="N52" s="499"/>
      <c r="O52" s="498"/>
      <c r="P52" s="26"/>
      <c r="Q52" s="27"/>
      <c r="R52" s="27"/>
      <c r="S52" s="27"/>
      <c r="T52" s="27"/>
      <c r="U52" s="27"/>
      <c r="V52" s="27"/>
      <c r="W52" s="27"/>
      <c r="X52" s="27"/>
      <c r="Y52" s="27"/>
      <c r="Z52" s="27"/>
      <c r="AA52" s="27"/>
      <c r="AB52" s="27"/>
      <c r="AC52" s="27"/>
      <c r="AD52" s="27"/>
      <c r="AE52" s="27"/>
      <c r="AF52" s="27"/>
      <c r="AG52" s="27"/>
      <c r="AH52" s="27"/>
      <c r="AI52" s="27"/>
      <c r="AJ52" s="27"/>
      <c r="AK52" s="2"/>
      <c r="AL52" s="2"/>
      <c r="AM52" s="2"/>
      <c r="AN52" s="2"/>
      <c r="AO52" s="2"/>
      <c r="AP52" s="2"/>
      <c r="AQ52" s="2"/>
      <c r="AR52" s="2"/>
      <c r="AS52" s="2"/>
      <c r="AT52" s="2"/>
      <c r="AU52" s="2"/>
      <c r="AV52" s="2"/>
      <c r="AW52" s="2"/>
      <c r="AX52" s="2"/>
      <c r="AY52" s="2"/>
      <c r="AZ52" s="2"/>
      <c r="BA52" s="2"/>
      <c r="BB52" s="476"/>
      <c r="BC52" s="583"/>
      <c r="BD52" s="583"/>
      <c r="BE52" s="583"/>
      <c r="BF52" s="583"/>
      <c r="BG52" s="583"/>
      <c r="BH52" s="583"/>
      <c r="BI52" s="583"/>
      <c r="BJ52" s="583"/>
      <c r="BK52" s="583"/>
      <c r="BL52" s="583"/>
      <c r="BM52" s="583"/>
      <c r="BN52" s="584"/>
      <c r="BO52" s="320"/>
      <c r="BP52" s="428"/>
      <c r="BQ52" s="428"/>
      <c r="BR52" s="428"/>
      <c r="BS52" s="428"/>
      <c r="BT52" s="428"/>
      <c r="BU52" s="428"/>
      <c r="BV52" s="428"/>
      <c r="BW52" s="428"/>
      <c r="BX52" s="428"/>
      <c r="BY52" s="428"/>
      <c r="BZ52" s="428"/>
      <c r="CA52" s="479"/>
      <c r="CB52" s="153"/>
      <c r="CC52" s="153"/>
      <c r="CR52" s="152"/>
      <c r="CS52" s="152"/>
    </row>
    <row r="53" spans="1:97" ht="9.65" customHeight="1" x14ac:dyDescent="0.55000000000000004">
      <c r="A53" s="484"/>
      <c r="B53" s="484"/>
      <c r="C53" s="484"/>
      <c r="D53" s="484"/>
      <c r="E53" s="21"/>
      <c r="F53" s="2"/>
      <c r="G53" s="2"/>
      <c r="H53" s="2"/>
      <c r="I53" s="2"/>
      <c r="J53" s="2"/>
      <c r="K53" s="2"/>
      <c r="L53" s="2"/>
      <c r="M53" s="2"/>
      <c r="N53" s="2"/>
      <c r="O53" s="22"/>
      <c r="P53" s="26"/>
      <c r="Q53" s="27"/>
      <c r="R53" s="27"/>
      <c r="S53" s="27"/>
      <c r="T53" s="27"/>
      <c r="U53" s="27"/>
      <c r="V53" s="27"/>
      <c r="W53" s="27"/>
      <c r="X53" s="27"/>
      <c r="Y53" s="27"/>
      <c r="Z53" s="27"/>
      <c r="AA53" s="27"/>
      <c r="AB53" s="27"/>
      <c r="AC53" s="27"/>
      <c r="AD53" s="27"/>
      <c r="AE53" s="27"/>
      <c r="AF53" s="27"/>
      <c r="AG53" s="27"/>
      <c r="AH53" s="27"/>
      <c r="AI53" s="27"/>
      <c r="AJ53" s="27"/>
      <c r="AK53" s="2"/>
      <c r="AL53" s="2"/>
      <c r="AM53" s="2"/>
      <c r="AN53" s="2"/>
      <c r="AO53" s="2"/>
      <c r="AP53" s="2"/>
      <c r="AQ53" s="2"/>
      <c r="AR53" s="2"/>
      <c r="AS53" s="2"/>
      <c r="AT53" s="2"/>
      <c r="AU53" s="2"/>
      <c r="AV53" s="2"/>
      <c r="AW53" s="2"/>
      <c r="AX53" s="2"/>
      <c r="AY53" s="2"/>
      <c r="AZ53" s="2"/>
      <c r="BA53" s="2"/>
      <c r="BB53" s="585"/>
      <c r="BC53" s="586"/>
      <c r="BD53" s="586"/>
      <c r="BE53" s="586"/>
      <c r="BF53" s="586"/>
      <c r="BG53" s="586"/>
      <c r="BH53" s="586"/>
      <c r="BI53" s="586"/>
      <c r="BJ53" s="586"/>
      <c r="BK53" s="586"/>
      <c r="BL53" s="586"/>
      <c r="BM53" s="586"/>
      <c r="BN53" s="587"/>
      <c r="BO53" s="320"/>
      <c r="BP53" s="428"/>
      <c r="BQ53" s="428"/>
      <c r="BR53" s="428"/>
      <c r="BS53" s="428"/>
      <c r="BT53" s="428"/>
      <c r="BU53" s="428"/>
      <c r="BV53" s="428"/>
      <c r="BW53" s="428"/>
      <c r="BX53" s="428"/>
      <c r="BY53" s="428"/>
      <c r="BZ53" s="428"/>
      <c r="CA53" s="479"/>
      <c r="CB53" s="153"/>
      <c r="CC53" s="153"/>
      <c r="CR53" s="152"/>
      <c r="CS53" s="152"/>
    </row>
    <row r="54" spans="1:97" ht="9.65" customHeight="1" x14ac:dyDescent="0.55000000000000004">
      <c r="A54" s="484"/>
      <c r="B54" s="484"/>
      <c r="C54" s="484"/>
      <c r="D54" s="484"/>
      <c r="E54" s="480"/>
      <c r="F54" s="481"/>
      <c r="G54" s="481"/>
      <c r="H54" s="481"/>
      <c r="I54" s="481"/>
      <c r="J54" s="481"/>
      <c r="K54" s="481"/>
      <c r="L54" s="481"/>
      <c r="M54" s="481"/>
      <c r="N54" s="481"/>
      <c r="O54" s="481"/>
      <c r="P54" s="481"/>
      <c r="Q54" s="481"/>
      <c r="R54" s="481"/>
      <c r="S54" s="481"/>
      <c r="T54" s="481"/>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39"/>
      <c r="BO54" s="564"/>
      <c r="BP54" s="428"/>
      <c r="BQ54" s="428"/>
      <c r="BR54" s="428"/>
      <c r="BS54" s="428"/>
      <c r="BT54" s="428"/>
      <c r="BU54" s="428"/>
      <c r="BV54" s="428"/>
      <c r="BW54" s="428"/>
      <c r="BX54" s="428"/>
      <c r="BY54" s="428"/>
      <c r="BZ54" s="428"/>
      <c r="CA54" s="479"/>
      <c r="CB54" s="157"/>
      <c r="CC54" s="153"/>
      <c r="CR54" s="152"/>
      <c r="CS54" s="152"/>
    </row>
    <row r="55" spans="1:97" ht="9.65" customHeight="1" x14ac:dyDescent="0.55000000000000004">
      <c r="A55" s="484"/>
      <c r="B55" s="484"/>
      <c r="C55" s="484"/>
      <c r="D55" s="484"/>
      <c r="E55" s="482"/>
      <c r="F55" s="483"/>
      <c r="G55" s="483"/>
      <c r="H55" s="483"/>
      <c r="I55" s="483"/>
      <c r="J55" s="483"/>
      <c r="K55" s="483"/>
      <c r="L55" s="483"/>
      <c r="M55" s="483"/>
      <c r="N55" s="483"/>
      <c r="O55" s="483"/>
      <c r="P55" s="483"/>
      <c r="Q55" s="483"/>
      <c r="R55" s="483"/>
      <c r="S55" s="483"/>
      <c r="T55" s="483"/>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31"/>
      <c r="BN55" s="31"/>
      <c r="BO55" s="564"/>
      <c r="BP55" s="428"/>
      <c r="BQ55" s="428"/>
      <c r="BR55" s="428"/>
      <c r="BS55" s="428"/>
      <c r="BT55" s="428"/>
      <c r="BU55" s="428"/>
      <c r="BV55" s="428"/>
      <c r="BW55" s="428"/>
      <c r="BX55" s="428"/>
      <c r="BY55" s="428"/>
      <c r="BZ55" s="428"/>
      <c r="CA55" s="479"/>
      <c r="CB55" s="157"/>
      <c r="CC55" s="153"/>
      <c r="CR55" s="152"/>
      <c r="CS55" s="152"/>
    </row>
    <row r="56" spans="1:97" ht="9.65" customHeight="1" x14ac:dyDescent="0.55000000000000004">
      <c r="A56" s="484"/>
      <c r="B56" s="484"/>
      <c r="C56" s="484"/>
      <c r="D56" s="484"/>
      <c r="E56" s="566" t="s">
        <v>91</v>
      </c>
      <c r="F56" s="510"/>
      <c r="G56" s="510"/>
      <c r="H56" s="510"/>
      <c r="I56" s="510"/>
      <c r="J56" s="510"/>
      <c r="K56" s="40"/>
      <c r="L56" s="40"/>
      <c r="M56" s="40"/>
      <c r="N56" s="40"/>
      <c r="O56" s="40"/>
      <c r="P56" s="40"/>
      <c r="Q56" s="40"/>
      <c r="R56" s="40"/>
      <c r="S56" s="40"/>
      <c r="T56" s="40"/>
      <c r="U56" s="40"/>
      <c r="V56" s="40"/>
      <c r="W56" s="40"/>
      <c r="X56" s="40"/>
      <c r="Y56" s="40"/>
      <c r="Z56" s="40"/>
      <c r="AA56" s="40"/>
      <c r="AB56" s="510" t="s">
        <v>92</v>
      </c>
      <c r="AC56" s="510"/>
      <c r="AD56" s="511"/>
      <c r="AE56" s="516" t="s">
        <v>93</v>
      </c>
      <c r="AF56" s="510"/>
      <c r="AG56" s="510"/>
      <c r="AH56" s="510"/>
      <c r="AI56" s="510"/>
      <c r="AJ56" s="510"/>
      <c r="AK56" s="510"/>
      <c r="AL56" s="510"/>
      <c r="AM56" s="511"/>
      <c r="AN56" s="519"/>
      <c r="AO56" s="520"/>
      <c r="AP56" s="520"/>
      <c r="AQ56" s="520"/>
      <c r="AR56" s="520"/>
      <c r="AS56" s="520"/>
      <c r="AT56" s="520"/>
      <c r="AU56" s="520"/>
      <c r="AV56" s="525"/>
      <c r="AW56" s="528"/>
      <c r="AX56" s="529"/>
      <c r="AY56" s="529"/>
      <c r="AZ56" s="529"/>
      <c r="BA56" s="529"/>
      <c r="BB56" s="529"/>
      <c r="BC56" s="529"/>
      <c r="BD56" s="529"/>
      <c r="BE56" s="570"/>
      <c r="BF56" s="528"/>
      <c r="BG56" s="529"/>
      <c r="BH56" s="529"/>
      <c r="BI56" s="529"/>
      <c r="BJ56" s="529"/>
      <c r="BK56" s="529"/>
      <c r="BL56" s="529"/>
      <c r="BM56" s="529"/>
      <c r="BN56" s="561"/>
      <c r="BO56" s="564"/>
      <c r="BP56" s="428"/>
      <c r="BQ56" s="428"/>
      <c r="BR56" s="428"/>
      <c r="BS56" s="428"/>
      <c r="BT56" s="428"/>
      <c r="BU56" s="428"/>
      <c r="BV56" s="428"/>
      <c r="BW56" s="428"/>
      <c r="BX56" s="428"/>
      <c r="BY56" s="428"/>
      <c r="BZ56" s="428"/>
      <c r="CA56" s="479"/>
      <c r="CB56" s="153"/>
      <c r="CC56" s="153"/>
      <c r="CR56" s="152"/>
      <c r="CS56" s="152"/>
    </row>
    <row r="57" spans="1:97" ht="9.65" customHeight="1" x14ac:dyDescent="0.55000000000000004">
      <c r="A57" s="153"/>
      <c r="B57" s="2"/>
      <c r="C57" s="2"/>
      <c r="D57" s="2"/>
      <c r="E57" s="567"/>
      <c r="F57" s="512"/>
      <c r="G57" s="512"/>
      <c r="H57" s="512"/>
      <c r="I57" s="512"/>
      <c r="J57" s="512"/>
      <c r="K57" s="31"/>
      <c r="L57" s="31"/>
      <c r="M57" s="31"/>
      <c r="N57" s="31"/>
      <c r="O57" s="31"/>
      <c r="P57" s="31"/>
      <c r="Q57" s="31"/>
      <c r="R57" s="31"/>
      <c r="S57" s="31"/>
      <c r="T57" s="31"/>
      <c r="U57" s="31"/>
      <c r="V57" s="31"/>
      <c r="W57" s="31"/>
      <c r="X57" s="31"/>
      <c r="Y57" s="31"/>
      <c r="Z57" s="31"/>
      <c r="AA57" s="31"/>
      <c r="AB57" s="512"/>
      <c r="AC57" s="512"/>
      <c r="AD57" s="513"/>
      <c r="AE57" s="517"/>
      <c r="AF57" s="512"/>
      <c r="AG57" s="512"/>
      <c r="AH57" s="512"/>
      <c r="AI57" s="512"/>
      <c r="AJ57" s="512"/>
      <c r="AK57" s="512"/>
      <c r="AL57" s="512"/>
      <c r="AM57" s="513"/>
      <c r="AN57" s="521"/>
      <c r="AO57" s="522"/>
      <c r="AP57" s="522"/>
      <c r="AQ57" s="522"/>
      <c r="AR57" s="522"/>
      <c r="AS57" s="522"/>
      <c r="AT57" s="522"/>
      <c r="AU57" s="522"/>
      <c r="AV57" s="526"/>
      <c r="AW57" s="530"/>
      <c r="AX57" s="531"/>
      <c r="AY57" s="531"/>
      <c r="AZ57" s="531"/>
      <c r="BA57" s="531"/>
      <c r="BB57" s="531"/>
      <c r="BC57" s="531"/>
      <c r="BD57" s="531"/>
      <c r="BE57" s="571"/>
      <c r="BF57" s="530"/>
      <c r="BG57" s="531"/>
      <c r="BH57" s="531"/>
      <c r="BI57" s="531"/>
      <c r="BJ57" s="531"/>
      <c r="BK57" s="531"/>
      <c r="BL57" s="531"/>
      <c r="BM57" s="531"/>
      <c r="BN57" s="562"/>
      <c r="BO57" s="564"/>
      <c r="BP57" s="428"/>
      <c r="BQ57" s="428"/>
      <c r="BR57" s="428"/>
      <c r="BS57" s="428"/>
      <c r="BT57" s="428"/>
      <c r="BU57" s="428"/>
      <c r="BV57" s="428"/>
      <c r="BW57" s="428"/>
      <c r="BX57" s="428"/>
      <c r="BY57" s="428"/>
      <c r="BZ57" s="428"/>
      <c r="CA57" s="479"/>
      <c r="CB57" s="153"/>
      <c r="CC57" s="153"/>
      <c r="CR57" s="152"/>
      <c r="CS57" s="152"/>
    </row>
    <row r="58" spans="1:97" ht="9.65" customHeight="1" x14ac:dyDescent="0.55000000000000004">
      <c r="A58" s="153"/>
      <c r="B58" s="2"/>
      <c r="C58" s="2"/>
      <c r="D58" s="2"/>
      <c r="E58" s="568"/>
      <c r="F58" s="514"/>
      <c r="G58" s="514"/>
      <c r="H58" s="514"/>
      <c r="I58" s="514"/>
      <c r="J58" s="514"/>
      <c r="K58" s="41"/>
      <c r="L58" s="41"/>
      <c r="M58" s="41"/>
      <c r="N58" s="41"/>
      <c r="O58" s="41"/>
      <c r="P58" s="41"/>
      <c r="Q58" s="41"/>
      <c r="R58" s="41"/>
      <c r="S58" s="41"/>
      <c r="T58" s="41"/>
      <c r="U58" s="41"/>
      <c r="V58" s="41"/>
      <c r="W58" s="41"/>
      <c r="X58" s="41"/>
      <c r="Y58" s="41"/>
      <c r="Z58" s="41"/>
      <c r="AA58" s="41"/>
      <c r="AB58" s="514"/>
      <c r="AC58" s="514"/>
      <c r="AD58" s="515"/>
      <c r="AE58" s="518"/>
      <c r="AF58" s="514"/>
      <c r="AG58" s="514"/>
      <c r="AH58" s="514"/>
      <c r="AI58" s="514"/>
      <c r="AJ58" s="514"/>
      <c r="AK58" s="514"/>
      <c r="AL58" s="514"/>
      <c r="AM58" s="515"/>
      <c r="AN58" s="523"/>
      <c r="AO58" s="524"/>
      <c r="AP58" s="524"/>
      <c r="AQ58" s="524"/>
      <c r="AR58" s="524"/>
      <c r="AS58" s="524"/>
      <c r="AT58" s="524"/>
      <c r="AU58" s="524"/>
      <c r="AV58" s="527"/>
      <c r="AW58" s="532"/>
      <c r="AX58" s="533"/>
      <c r="AY58" s="533"/>
      <c r="AZ58" s="533"/>
      <c r="BA58" s="533"/>
      <c r="BB58" s="533"/>
      <c r="BC58" s="533"/>
      <c r="BD58" s="533"/>
      <c r="BE58" s="572"/>
      <c r="BF58" s="532"/>
      <c r="BG58" s="533"/>
      <c r="BH58" s="533"/>
      <c r="BI58" s="533"/>
      <c r="BJ58" s="533"/>
      <c r="BK58" s="533"/>
      <c r="BL58" s="533"/>
      <c r="BM58" s="533"/>
      <c r="BN58" s="563"/>
      <c r="BO58" s="565"/>
      <c r="BP58" s="462"/>
      <c r="BQ58" s="462"/>
      <c r="BR58" s="462"/>
      <c r="BS58" s="462"/>
      <c r="BT58" s="462"/>
      <c r="BU58" s="462"/>
      <c r="BV58" s="462"/>
      <c r="BW58" s="462"/>
      <c r="BX58" s="462"/>
      <c r="BY58" s="462"/>
      <c r="BZ58" s="462"/>
      <c r="CA58" s="463"/>
      <c r="CB58" s="153"/>
      <c r="CC58" s="153"/>
      <c r="CR58" s="152"/>
      <c r="CS58" s="152"/>
    </row>
    <row r="59" spans="1:97" s="85" customFormat="1" ht="10.75" customHeight="1" x14ac:dyDescent="0.55000000000000004">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3"/>
      <c r="AL59" s="153"/>
      <c r="AM59" s="153"/>
      <c r="AN59" s="153"/>
      <c r="AO59" s="153"/>
      <c r="AP59" s="153"/>
      <c r="AQ59" s="153"/>
      <c r="AR59" s="153"/>
      <c r="AS59" s="153"/>
      <c r="AT59" s="153"/>
      <c r="AU59" s="153"/>
      <c r="AV59" s="153"/>
      <c r="AW59" s="153"/>
      <c r="AX59" s="153"/>
      <c r="AY59" s="153"/>
      <c r="AZ59" s="153"/>
      <c r="BA59" s="153"/>
      <c r="BB59" s="153"/>
      <c r="BC59" s="153"/>
      <c r="BD59" s="153"/>
      <c r="BE59" s="153"/>
      <c r="BF59" s="153"/>
      <c r="BG59" s="153"/>
      <c r="BH59" s="153"/>
      <c r="BI59" s="153"/>
      <c r="BJ59" s="153"/>
      <c r="BK59" s="153"/>
      <c r="BL59" s="153"/>
      <c r="BM59" s="153"/>
      <c r="BN59" s="153"/>
      <c r="BO59" s="153"/>
      <c r="BP59" s="153"/>
      <c r="BQ59" s="153"/>
      <c r="BR59" s="153"/>
      <c r="BS59" s="153"/>
      <c r="BT59" s="153"/>
      <c r="BU59" s="153"/>
      <c r="BV59" s="153"/>
      <c r="BW59" s="153"/>
      <c r="BX59" s="153"/>
      <c r="BY59" s="153"/>
      <c r="BZ59" s="153"/>
      <c r="CA59" s="153"/>
      <c r="CB59" s="153"/>
      <c r="CC59" s="153"/>
      <c r="CD59" s="152"/>
      <c r="CE59" s="152"/>
      <c r="CF59" s="162" t="s">
        <v>632</v>
      </c>
      <c r="CG59" s="163"/>
      <c r="CH59" s="164" t="s">
        <v>638</v>
      </c>
      <c r="CI59" s="152"/>
      <c r="CJ59" s="152" t="s">
        <v>641</v>
      </c>
      <c r="CK59" s="152" t="s">
        <v>640</v>
      </c>
      <c r="CL59" s="152" t="s">
        <v>639</v>
      </c>
      <c r="CM59" s="152" t="s">
        <v>642</v>
      </c>
      <c r="CN59" s="152" t="s">
        <v>641</v>
      </c>
      <c r="CO59" s="152" t="s">
        <v>640</v>
      </c>
      <c r="CP59" s="152" t="s">
        <v>639</v>
      </c>
      <c r="CQ59" s="152" t="s">
        <v>25</v>
      </c>
      <c r="CR59" s="152"/>
      <c r="CS59" s="152"/>
    </row>
    <row r="60" spans="1:97" s="85" customFormat="1" ht="6" customHeight="1" x14ac:dyDescent="0.55000000000000004">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c r="BU60" s="153"/>
      <c r="BV60" s="153"/>
      <c r="BW60" s="153"/>
      <c r="BX60" s="153"/>
      <c r="BY60" s="153"/>
      <c r="BZ60" s="153"/>
      <c r="CA60" s="153"/>
      <c r="CB60" s="153"/>
      <c r="CC60" s="153"/>
      <c r="CD60" s="152"/>
      <c r="CE60" s="152"/>
      <c r="CF60" s="162"/>
      <c r="CG60" s="163"/>
      <c r="CH60" s="164"/>
      <c r="CI60" s="152"/>
      <c r="CJ60" s="152"/>
      <c r="CK60" s="152"/>
      <c r="CL60" s="152"/>
      <c r="CM60" s="152"/>
      <c r="CN60" s="152"/>
      <c r="CO60" s="152"/>
      <c r="CP60" s="152"/>
      <c r="CQ60" s="152"/>
      <c r="CR60" s="152"/>
      <c r="CS60" s="152"/>
    </row>
    <row r="61" spans="1:97" s="85" customFormat="1" ht="11.15" customHeight="1" x14ac:dyDescent="0.55000000000000004">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20" t="s">
        <v>665</v>
      </c>
      <c r="AL61" s="320"/>
      <c r="AM61" s="320"/>
      <c r="AN61" s="320"/>
      <c r="AO61" s="320"/>
      <c r="AP61" s="320"/>
      <c r="AQ61" s="320"/>
      <c r="AR61" s="320"/>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153"/>
      <c r="CD61" s="152"/>
      <c r="CE61" s="152"/>
      <c r="CF61" s="162"/>
      <c r="CG61" s="163"/>
      <c r="CH61" s="164"/>
      <c r="CI61" s="152"/>
      <c r="CJ61" s="152"/>
      <c r="CK61" s="152"/>
      <c r="CL61" s="152"/>
      <c r="CM61" s="152"/>
      <c r="CN61" s="152"/>
      <c r="CO61" s="152"/>
      <c r="CP61" s="152"/>
      <c r="CQ61" s="152"/>
      <c r="CR61" s="152"/>
      <c r="CS61" s="152"/>
    </row>
    <row r="62" spans="1:97" s="85" customFormat="1" ht="11.25" customHeight="1" x14ac:dyDescent="0.55000000000000004">
      <c r="A62" s="153"/>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320"/>
      <c r="AL62" s="320"/>
      <c r="AM62" s="320"/>
      <c r="AN62" s="320"/>
      <c r="AO62" s="320"/>
      <c r="AP62" s="320"/>
      <c r="AQ62" s="320"/>
      <c r="AR62" s="320"/>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153"/>
      <c r="CC62" s="153"/>
      <c r="CF62" s="80" t="s">
        <v>633</v>
      </c>
      <c r="CG62" s="81">
        <f>IF(入力表!I48="",入力表!E48,入力表!I48)</f>
        <v>0</v>
      </c>
      <c r="CH62" s="79">
        <f>LEN(CG62)</f>
        <v>1</v>
      </c>
      <c r="CI62" s="161" t="str">
        <f>IF(AND($CH62&lt;=11,$CH62&gt;=9),MID($CG62,$CH62-8,1),"")</f>
        <v/>
      </c>
      <c r="CJ62" s="161" t="str">
        <f>IF(AND($CH62&lt;=11,$CH62&gt;=8),MID($CG62,$CH62-7,1),"")</f>
        <v/>
      </c>
      <c r="CK62" s="161" t="str">
        <f>IF(AND($CH$31&lt;=11,$CH$31&gt;=7),MID($CG$31,$CH$31-6,1),"")</f>
        <v/>
      </c>
      <c r="CL62" s="161" t="str">
        <f>IF(AND($CH62&lt;=11,$CH62&gt;=6),MID($CG62,$CH62-5,1),"")</f>
        <v/>
      </c>
      <c r="CM62" s="161" t="str">
        <f>IF(AND($CH62&lt;=11,$CH62&gt;=5),MID($CG62,$CH62-4,1),"")</f>
        <v/>
      </c>
      <c r="CN62" s="161" t="str">
        <f>IF(AND($CH62&lt;=11,$CH62&gt;=4),MID($CG62,$CH62-3,1),"")</f>
        <v/>
      </c>
      <c r="CO62" s="161" t="str">
        <f>IF(AND($CH62&lt;=11,$CH62&gt;=3),MID($CG62,$CH62-2,1),"")</f>
        <v/>
      </c>
      <c r="CP62" s="161" t="str">
        <f>IF(AND($CH62&lt;=11,$CH62&gt;=2),MID($CG62,$CH62-1,1),"")</f>
        <v/>
      </c>
      <c r="CQ62" s="165" t="str">
        <f>IF(AND($CH62&lt;=11,$CH62&gt;=1),MID($CG62,$CH62-0,1),"")</f>
        <v>0</v>
      </c>
      <c r="CR62" s="152"/>
      <c r="CS62" s="152"/>
    </row>
    <row r="63" spans="1:97" s="85" customFormat="1" ht="10.5" customHeight="1" x14ac:dyDescent="0.55000000000000004">
      <c r="A63" s="153"/>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153"/>
      <c r="CC63" s="153"/>
      <c r="CF63" s="80"/>
      <c r="CG63" s="81"/>
      <c r="CH63" s="79"/>
      <c r="CI63" s="161"/>
      <c r="CJ63" s="161"/>
      <c r="CK63" s="161"/>
      <c r="CL63" s="161"/>
      <c r="CM63" s="161"/>
      <c r="CN63" s="161"/>
      <c r="CO63" s="161"/>
      <c r="CP63" s="161"/>
      <c r="CQ63" s="165"/>
      <c r="CR63" s="152"/>
      <c r="CS63" s="152"/>
    </row>
    <row r="64" spans="1:97" ht="9" customHeight="1" x14ac:dyDescent="0.55000000000000004">
      <c r="A64" s="153"/>
      <c r="B64" s="2"/>
      <c r="C64" s="2"/>
      <c r="D64" s="2"/>
      <c r="E64" s="378" t="s">
        <v>48</v>
      </c>
      <c r="F64" s="378"/>
      <c r="G64" s="378"/>
      <c r="H64" s="378"/>
      <c r="I64" s="378"/>
      <c r="J64" s="2"/>
      <c r="K64" s="379" t="s">
        <v>49</v>
      </c>
      <c r="L64" s="379"/>
      <c r="M64" s="379"/>
      <c r="N64" s="379"/>
      <c r="O64" s="379"/>
      <c r="P64" s="3">
        <v>0</v>
      </c>
      <c r="Q64" s="3">
        <v>1</v>
      </c>
      <c r="R64" s="3">
        <v>0</v>
      </c>
      <c r="S64" s="3">
        <v>0</v>
      </c>
      <c r="T64" s="3">
        <v>0</v>
      </c>
      <c r="U64" s="3">
        <v>6</v>
      </c>
      <c r="V64" s="2"/>
      <c r="W64" s="2"/>
      <c r="X64" s="2"/>
      <c r="Y64" s="380" t="s">
        <v>94</v>
      </c>
      <c r="Z64" s="380"/>
      <c r="AA64" s="380"/>
      <c r="AB64" s="380"/>
      <c r="AC64" s="380"/>
      <c r="AD64" s="380"/>
      <c r="AE64" s="380"/>
      <c r="AF64" s="380"/>
      <c r="AG64" s="380"/>
      <c r="AH64" s="380"/>
      <c r="AI64" s="380"/>
      <c r="AJ64" s="380"/>
      <c r="AK64" s="380"/>
      <c r="AL64" s="380"/>
      <c r="AM64" s="380"/>
      <c r="AN64" s="380"/>
      <c r="AO64" s="380"/>
      <c r="AP64" s="380"/>
      <c r="AQ64" s="380"/>
      <c r="AR64" s="380"/>
      <c r="AS64" s="380"/>
      <c r="AT64" s="380"/>
      <c r="AU64" s="380"/>
      <c r="AV64" s="380"/>
      <c r="AW64" s="380"/>
      <c r="AX64" s="380"/>
      <c r="AY64" s="380"/>
      <c r="AZ64" s="4"/>
      <c r="BA64" s="381" t="s">
        <v>51</v>
      </c>
      <c r="BB64" s="381"/>
      <c r="BC64" s="381"/>
      <c r="BD64" s="4"/>
      <c r="BE64" s="4"/>
      <c r="BF64" s="2"/>
      <c r="BG64" s="2"/>
      <c r="BH64" s="2"/>
      <c r="BI64" s="2"/>
      <c r="BJ64" s="2"/>
      <c r="BK64" s="2"/>
      <c r="BL64" s="2"/>
      <c r="BM64" s="2"/>
      <c r="BN64" s="2"/>
      <c r="BO64" s="2"/>
      <c r="BP64" s="2"/>
      <c r="BQ64" s="2"/>
      <c r="BR64" s="2"/>
      <c r="BS64" s="2"/>
      <c r="BT64" s="2"/>
      <c r="BU64" s="382"/>
      <c r="BV64" s="383"/>
      <c r="BW64" s="383"/>
      <c r="BX64" s="383"/>
      <c r="BY64" s="383"/>
      <c r="BZ64" s="383"/>
      <c r="CA64" s="383"/>
      <c r="CB64" s="154"/>
      <c r="CC64" s="153"/>
      <c r="CR64" s="152"/>
      <c r="CS64" s="152"/>
    </row>
    <row r="65" spans="1:97" ht="9" customHeight="1" x14ac:dyDescent="0.4">
      <c r="A65" s="153"/>
      <c r="B65" s="2"/>
      <c r="C65" s="2"/>
      <c r="D65" s="2"/>
      <c r="E65" s="378"/>
      <c r="F65" s="378"/>
      <c r="G65" s="378"/>
      <c r="H65" s="378"/>
      <c r="I65" s="378"/>
      <c r="J65" s="2"/>
      <c r="K65" s="5"/>
      <c r="L65" s="6"/>
      <c r="M65" s="6"/>
      <c r="N65" s="6"/>
      <c r="O65" s="7"/>
      <c r="P65" s="2"/>
      <c r="Q65" s="2"/>
      <c r="R65" s="2"/>
      <c r="S65" s="2"/>
      <c r="T65" s="2"/>
      <c r="U65" s="2"/>
      <c r="V65" s="2"/>
      <c r="W65" s="2"/>
      <c r="X65" s="2"/>
      <c r="Y65" s="380"/>
      <c r="Z65" s="380"/>
      <c r="AA65" s="380"/>
      <c r="AB65" s="380"/>
      <c r="AC65" s="380"/>
      <c r="AD65" s="380"/>
      <c r="AE65" s="380"/>
      <c r="AF65" s="380"/>
      <c r="AG65" s="380"/>
      <c r="AH65" s="380"/>
      <c r="AI65" s="380"/>
      <c r="AJ65" s="380"/>
      <c r="AK65" s="380"/>
      <c r="AL65" s="380"/>
      <c r="AM65" s="380"/>
      <c r="AN65" s="380"/>
      <c r="AO65" s="380"/>
      <c r="AP65" s="380"/>
      <c r="AQ65" s="380"/>
      <c r="AR65" s="380"/>
      <c r="AS65" s="380"/>
      <c r="AT65" s="380"/>
      <c r="AU65" s="380"/>
      <c r="AV65" s="380"/>
      <c r="AW65" s="380"/>
      <c r="AX65" s="380"/>
      <c r="AY65" s="380"/>
      <c r="AZ65" s="4"/>
      <c r="BA65" s="381"/>
      <c r="BB65" s="381"/>
      <c r="BC65" s="381"/>
      <c r="BD65" s="4"/>
      <c r="BE65" s="4"/>
      <c r="BF65" s="2"/>
      <c r="BG65" s="2"/>
      <c r="BH65" s="2"/>
      <c r="BI65" s="2"/>
      <c r="BJ65" s="2"/>
      <c r="BK65" s="2"/>
      <c r="BL65" s="2"/>
      <c r="BM65" s="2"/>
      <c r="BN65" s="2"/>
      <c r="BO65" s="2"/>
      <c r="BP65" s="2"/>
      <c r="BQ65" s="2"/>
      <c r="BR65" s="2"/>
      <c r="BS65" s="2"/>
      <c r="BT65" s="2"/>
      <c r="BU65" s="8"/>
      <c r="BV65" s="9"/>
      <c r="BW65" s="9"/>
      <c r="BX65" s="9"/>
      <c r="BY65" s="9"/>
      <c r="BZ65" s="9"/>
      <c r="CA65" s="9"/>
      <c r="CB65" s="154"/>
      <c r="CC65" s="153"/>
      <c r="CR65" s="152"/>
      <c r="CS65" s="152"/>
    </row>
    <row r="66" spans="1:97" ht="10.5" customHeight="1" x14ac:dyDescent="0.55000000000000004">
      <c r="A66" s="153"/>
      <c r="B66" s="2"/>
      <c r="C66" s="2"/>
      <c r="D66" s="2"/>
      <c r="E66" s="384" t="s">
        <v>53</v>
      </c>
      <c r="F66" s="385"/>
      <c r="G66" s="385"/>
      <c r="H66" s="385"/>
      <c r="I66" s="385"/>
      <c r="J66" s="386"/>
      <c r="K66" s="387" t="s">
        <v>672</v>
      </c>
      <c r="L66" s="388"/>
      <c r="M66" s="388"/>
      <c r="N66" s="389"/>
      <c r="O66" s="390" t="s">
        <v>54</v>
      </c>
      <c r="P66" s="385"/>
      <c r="Q66" s="385"/>
      <c r="R66" s="385"/>
      <c r="S66" s="385"/>
      <c r="T66" s="385"/>
      <c r="U66" s="385"/>
      <c r="V66" s="385"/>
      <c r="W66" s="391"/>
      <c r="X66" s="384" t="s">
        <v>55</v>
      </c>
      <c r="Y66" s="385"/>
      <c r="Z66" s="385"/>
      <c r="AA66" s="385"/>
      <c r="AB66" s="385"/>
      <c r="AC66" s="385"/>
      <c r="AD66" s="385"/>
      <c r="AE66" s="385"/>
      <c r="AF66" s="385"/>
      <c r="AG66" s="385"/>
      <c r="AH66" s="385"/>
      <c r="AI66" s="391"/>
      <c r="AJ66" s="400" t="s">
        <v>673</v>
      </c>
      <c r="AK66" s="401"/>
      <c r="AL66" s="401"/>
      <c r="AM66" s="401"/>
      <c r="AN66" s="178"/>
      <c r="AO66" s="401" t="s">
        <v>674</v>
      </c>
      <c r="AP66" s="401"/>
      <c r="AQ66" s="401"/>
      <c r="AR66" s="401"/>
      <c r="AS66" s="401"/>
      <c r="AT66" s="401"/>
      <c r="AU66" s="402"/>
      <c r="AV66" s="392" t="s">
        <v>56</v>
      </c>
      <c r="AW66" s="393"/>
      <c r="AX66" s="393"/>
      <c r="AY66" s="393"/>
      <c r="AZ66" s="393"/>
      <c r="BA66" s="393"/>
      <c r="BB66" s="393"/>
      <c r="BC66" s="393"/>
      <c r="BD66" s="393"/>
      <c r="BE66" s="393"/>
      <c r="BF66" s="393"/>
      <c r="BG66" s="393"/>
      <c r="BH66" s="393"/>
      <c r="BI66" s="393"/>
      <c r="BJ66" s="393"/>
      <c r="BK66" s="394"/>
      <c r="BL66" s="395" t="s">
        <v>57</v>
      </c>
      <c r="BM66" s="396"/>
      <c r="BN66" s="396"/>
      <c r="BO66" s="396"/>
      <c r="BP66" s="397" t="s">
        <v>58</v>
      </c>
      <c r="BQ66" s="398"/>
      <c r="BR66" s="398"/>
      <c r="BS66" s="398"/>
      <c r="BT66" s="398"/>
      <c r="BU66" s="398"/>
      <c r="BV66" s="398"/>
      <c r="BW66" s="398"/>
      <c r="BX66" s="398"/>
      <c r="BY66" s="398"/>
      <c r="BZ66" s="398"/>
      <c r="CA66" s="399"/>
      <c r="CB66" s="155"/>
      <c r="CC66" s="153"/>
      <c r="CR66" s="152"/>
      <c r="CS66" s="152"/>
    </row>
    <row r="67" spans="1:97" ht="15" customHeight="1" x14ac:dyDescent="0.55000000000000004">
      <c r="A67" s="484" t="s">
        <v>95</v>
      </c>
      <c r="B67" s="484"/>
      <c r="C67" s="484"/>
      <c r="D67" s="484"/>
      <c r="E67" s="485">
        <f>E5</f>
        <v>0</v>
      </c>
      <c r="F67" s="486"/>
      <c r="G67" s="486"/>
      <c r="H67" s="486"/>
      <c r="I67" s="486"/>
      <c r="J67" s="487"/>
      <c r="K67" s="407" t="s">
        <v>60</v>
      </c>
      <c r="L67" s="408"/>
      <c r="M67" s="408"/>
      <c r="N67" s="409"/>
      <c r="O67" s="410">
        <f>O5</f>
        <v>0</v>
      </c>
      <c r="P67" s="411"/>
      <c r="Q67" s="411"/>
      <c r="R67" s="411"/>
      <c r="S67" s="411"/>
      <c r="T67" s="411"/>
      <c r="U67" s="411"/>
      <c r="V67" s="411"/>
      <c r="W67" s="412"/>
      <c r="X67" s="413" t="s">
        <v>61</v>
      </c>
      <c r="Y67" s="414"/>
      <c r="Z67" s="414"/>
      <c r="AA67" s="414"/>
      <c r="AB67" s="414"/>
      <c r="AC67" s="414"/>
      <c r="AD67" s="414"/>
      <c r="AE67" s="414"/>
      <c r="AF67" s="414"/>
      <c r="AG67" s="414"/>
      <c r="AH67" s="414"/>
      <c r="AI67" s="415"/>
      <c r="AJ67" s="416" t="s">
        <v>62</v>
      </c>
      <c r="AK67" s="417"/>
      <c r="AL67" s="417"/>
      <c r="AM67" s="417"/>
      <c r="AN67" s="417"/>
      <c r="AO67" s="417"/>
      <c r="AP67" s="417"/>
      <c r="AQ67" s="417"/>
      <c r="AR67" s="417"/>
      <c r="AS67" s="417"/>
      <c r="AT67" s="417"/>
      <c r="AU67" s="418"/>
      <c r="AV67" s="419" t="e">
        <f>AV5</f>
        <v>#N/A</v>
      </c>
      <c r="AW67" s="420"/>
      <c r="AX67" s="420"/>
      <c r="AY67" s="420"/>
      <c r="AZ67" s="420"/>
      <c r="BA67" s="420"/>
      <c r="BB67" s="420"/>
      <c r="BC67" s="420"/>
      <c r="BD67" s="420"/>
      <c r="BE67" s="420"/>
      <c r="BF67" s="420"/>
      <c r="BG67" s="420"/>
      <c r="BH67" s="420"/>
      <c r="BI67" s="420"/>
      <c r="BJ67" s="420"/>
      <c r="BK67" s="421"/>
      <c r="BL67" s="422" t="str">
        <f>BL5</f>
        <v/>
      </c>
      <c r="BM67" s="423"/>
      <c r="BN67" s="423"/>
      <c r="BO67" s="423"/>
      <c r="BP67" s="340" t="str">
        <f>BP5</f>
        <v/>
      </c>
      <c r="BQ67" s="341"/>
      <c r="BR67" s="341"/>
      <c r="BS67" s="341"/>
      <c r="BT67" s="341"/>
      <c r="BU67" s="341"/>
      <c r="BV67" s="341"/>
      <c r="BW67" s="341"/>
      <c r="BX67" s="341"/>
      <c r="BY67" s="341"/>
      <c r="BZ67" s="341"/>
      <c r="CA67" s="342"/>
      <c r="CB67" s="156"/>
      <c r="CC67" s="153"/>
      <c r="CR67" s="152"/>
      <c r="CS67" s="152"/>
    </row>
    <row r="68" spans="1:97" ht="15" customHeight="1" x14ac:dyDescent="0.55000000000000004">
      <c r="A68" s="484"/>
      <c r="B68" s="484"/>
      <c r="C68" s="484"/>
      <c r="D68" s="484"/>
      <c r="E68" s="186"/>
      <c r="F68" s="187"/>
      <c r="G68" s="187"/>
      <c r="H68" s="187"/>
      <c r="I68" s="187"/>
      <c r="J68" s="187"/>
      <c r="K68" s="187"/>
      <c r="L68" s="187"/>
      <c r="M68" s="187"/>
      <c r="N68" s="187"/>
      <c r="O68" s="188"/>
      <c r="P68" s="500" t="s">
        <v>90</v>
      </c>
      <c r="Q68" s="501"/>
      <c r="R68" s="501"/>
      <c r="S68" s="501"/>
      <c r="T68" s="501"/>
      <c r="U68" s="501"/>
      <c r="V68" s="501"/>
      <c r="W68" s="501"/>
      <c r="X68" s="483"/>
      <c r="Y68" s="483"/>
      <c r="Z68" s="483"/>
      <c r="AA68" s="483"/>
      <c r="AB68" s="483"/>
      <c r="AC68" s="483"/>
      <c r="AD68" s="483"/>
      <c r="AE68" s="483"/>
      <c r="AF68" s="483"/>
      <c r="AG68" s="483"/>
      <c r="AH68" s="483"/>
      <c r="AI68" s="483"/>
      <c r="AJ68" s="501"/>
      <c r="AK68" s="501"/>
      <c r="AL68" s="501"/>
      <c r="AM68" s="501"/>
      <c r="AN68" s="501"/>
      <c r="AO68" s="501"/>
      <c r="AP68" s="501"/>
      <c r="AQ68" s="501"/>
      <c r="AR68" s="501"/>
      <c r="AS68" s="501"/>
      <c r="AT68" s="501"/>
      <c r="AU68" s="501"/>
      <c r="AV68" s="501"/>
      <c r="AW68" s="501"/>
      <c r="AX68" s="501"/>
      <c r="AY68" s="501"/>
      <c r="AZ68" s="501"/>
      <c r="BA68" s="502"/>
      <c r="BB68" s="441" t="s">
        <v>63</v>
      </c>
      <c r="BC68" s="442"/>
      <c r="BD68" s="442"/>
      <c r="BE68" s="442"/>
      <c r="BF68" s="442"/>
      <c r="BG68" s="442"/>
      <c r="BH68" s="443"/>
      <c r="BI68" s="343" t="s">
        <v>64</v>
      </c>
      <c r="BJ68" s="344"/>
      <c r="BK68" s="344"/>
      <c r="BL68" s="344"/>
      <c r="BM68" s="344"/>
      <c r="BN68" s="344"/>
      <c r="BO68" s="344"/>
      <c r="BP68" s="344"/>
      <c r="BQ68" s="344"/>
      <c r="BR68" s="344"/>
      <c r="BS68" s="344"/>
      <c r="BT68" s="344"/>
      <c r="BU68" s="344"/>
      <c r="BV68" s="344"/>
      <c r="BW68" s="344"/>
      <c r="BX68" s="344"/>
      <c r="BY68" s="344"/>
      <c r="BZ68" s="344"/>
      <c r="CA68" s="345"/>
      <c r="CB68" s="157"/>
      <c r="CC68" s="153"/>
      <c r="CR68" s="152"/>
      <c r="CS68" s="152"/>
    </row>
    <row r="69" spans="1:97" s="176" customFormat="1" ht="7" customHeight="1" x14ac:dyDescent="0.55000000000000004">
      <c r="A69" s="484"/>
      <c r="B69" s="484"/>
      <c r="C69" s="484"/>
      <c r="D69" s="484"/>
      <c r="E69" s="496" t="s">
        <v>96</v>
      </c>
      <c r="F69" s="497"/>
      <c r="G69" s="497"/>
      <c r="H69" s="578" t="s">
        <v>97</v>
      </c>
      <c r="I69" s="579"/>
      <c r="J69" s="578" t="s">
        <v>98</v>
      </c>
      <c r="K69" s="579"/>
      <c r="L69" s="579"/>
      <c r="M69" s="578" t="s">
        <v>99</v>
      </c>
      <c r="N69" s="579"/>
      <c r="O69" s="580"/>
      <c r="P69" s="503"/>
      <c r="Q69" s="504"/>
      <c r="R69" s="504"/>
      <c r="S69" s="504"/>
      <c r="T69" s="504"/>
      <c r="U69" s="504"/>
      <c r="V69" s="504"/>
      <c r="W69" s="504"/>
      <c r="X69" s="483"/>
      <c r="Y69" s="483"/>
      <c r="Z69" s="483"/>
      <c r="AA69" s="483"/>
      <c r="AB69" s="483"/>
      <c r="AC69" s="483"/>
      <c r="AD69" s="483"/>
      <c r="AE69" s="483"/>
      <c r="AF69" s="483"/>
      <c r="AG69" s="483"/>
      <c r="AH69" s="483"/>
      <c r="AI69" s="483"/>
      <c r="AJ69" s="504"/>
      <c r="AK69" s="504"/>
      <c r="AL69" s="504"/>
      <c r="AM69" s="504"/>
      <c r="AN69" s="504"/>
      <c r="AO69" s="504"/>
      <c r="AP69" s="504"/>
      <c r="AQ69" s="504"/>
      <c r="AR69" s="504"/>
      <c r="AS69" s="504"/>
      <c r="AT69" s="504"/>
      <c r="AU69" s="504"/>
      <c r="AV69" s="504"/>
      <c r="AW69" s="504"/>
      <c r="AX69" s="504"/>
      <c r="AY69" s="504"/>
      <c r="AZ69" s="504"/>
      <c r="BA69" s="505"/>
      <c r="BB69" s="573" t="s">
        <v>65</v>
      </c>
      <c r="BC69" s="574"/>
      <c r="BD69" s="574"/>
      <c r="BE69" s="574"/>
      <c r="BF69" s="574"/>
      <c r="BG69" s="574"/>
      <c r="BH69" s="575"/>
      <c r="BI69" s="179"/>
      <c r="BJ69" s="180"/>
      <c r="BK69" s="180"/>
      <c r="BL69" s="181"/>
      <c r="BM69" s="185" t="s">
        <v>641</v>
      </c>
      <c r="BN69" s="183"/>
      <c r="BO69" s="182" t="s">
        <v>640</v>
      </c>
      <c r="BP69" s="183"/>
      <c r="BQ69" s="182" t="s">
        <v>639</v>
      </c>
      <c r="BR69" s="183"/>
      <c r="BS69" s="185" t="s">
        <v>642</v>
      </c>
      <c r="BT69" s="183"/>
      <c r="BU69" s="182" t="s">
        <v>641</v>
      </c>
      <c r="BV69" s="183"/>
      <c r="BW69" s="182" t="s">
        <v>640</v>
      </c>
      <c r="BX69" s="183"/>
      <c r="BY69" s="182" t="s">
        <v>639</v>
      </c>
      <c r="BZ69" s="183"/>
      <c r="CA69" s="184" t="s">
        <v>25</v>
      </c>
      <c r="CB69" s="157"/>
      <c r="CC69" s="153"/>
      <c r="CF69" s="78"/>
      <c r="CR69" s="152"/>
      <c r="CS69" s="152"/>
    </row>
    <row r="70" spans="1:97" ht="8" customHeight="1" x14ac:dyDescent="0.55000000000000004">
      <c r="A70" s="484"/>
      <c r="B70" s="484"/>
      <c r="C70" s="484"/>
      <c r="D70" s="484"/>
      <c r="E70" s="576"/>
      <c r="F70" s="577"/>
      <c r="G70" s="577"/>
      <c r="H70" s="576"/>
      <c r="I70" s="577"/>
      <c r="J70" s="576"/>
      <c r="K70" s="577"/>
      <c r="L70" s="577"/>
      <c r="M70" s="576"/>
      <c r="N70" s="577"/>
      <c r="O70" s="581"/>
      <c r="P70" s="506"/>
      <c r="Q70" s="483"/>
      <c r="R70" s="483"/>
      <c r="S70" s="483"/>
      <c r="T70" s="483"/>
      <c r="U70" s="483"/>
      <c r="V70" s="483"/>
      <c r="W70" s="483"/>
      <c r="X70" s="483"/>
      <c r="Y70" s="483"/>
      <c r="Z70" s="483"/>
      <c r="AA70" s="483"/>
      <c r="AB70" s="483"/>
      <c r="AC70" s="483"/>
      <c r="AD70" s="483"/>
      <c r="AE70" s="483"/>
      <c r="AF70" s="483"/>
      <c r="AG70" s="483"/>
      <c r="AH70" s="483"/>
      <c r="AI70" s="483"/>
      <c r="AJ70" s="483"/>
      <c r="AK70" s="483"/>
      <c r="AL70" s="483"/>
      <c r="AM70" s="483"/>
      <c r="AN70" s="483"/>
      <c r="AO70" s="483"/>
      <c r="AP70" s="483"/>
      <c r="AQ70" s="483"/>
      <c r="AR70" s="483"/>
      <c r="AS70" s="483"/>
      <c r="AT70" s="483"/>
      <c r="AU70" s="483"/>
      <c r="AV70" s="483"/>
      <c r="AW70" s="483"/>
      <c r="AX70" s="483"/>
      <c r="AY70" s="483"/>
      <c r="AZ70" s="483"/>
      <c r="BA70" s="505"/>
      <c r="BB70" s="429"/>
      <c r="BC70" s="366"/>
      <c r="BD70" s="366"/>
      <c r="BE70" s="366"/>
      <c r="BF70" s="366"/>
      <c r="BG70" s="366"/>
      <c r="BH70" s="367"/>
      <c r="BI70" s="458"/>
      <c r="BJ70" s="459"/>
      <c r="BK70" s="337"/>
      <c r="BL70" s="323" t="str">
        <f>$CJ$31</f>
        <v/>
      </c>
      <c r="BM70" s="337"/>
      <c r="BN70" s="323" t="str">
        <f>$CK$31</f>
        <v/>
      </c>
      <c r="BO70" s="339"/>
      <c r="BP70" s="336" t="str">
        <f>$CL$31</f>
        <v/>
      </c>
      <c r="BQ70" s="337"/>
      <c r="BR70" s="323" t="str">
        <f>$CM$31</f>
        <v/>
      </c>
      <c r="BS70" s="337"/>
      <c r="BT70" s="323" t="str">
        <f>$CN$31</f>
        <v/>
      </c>
      <c r="BU70" s="339"/>
      <c r="BV70" s="336" t="str">
        <f>$CO$31</f>
        <v/>
      </c>
      <c r="BW70" s="337"/>
      <c r="BX70" s="323" t="str">
        <f>$CP$31</f>
        <v/>
      </c>
      <c r="BY70" s="337"/>
      <c r="BZ70" s="323" t="str">
        <f>$CQ$31</f>
        <v>0</v>
      </c>
      <c r="CA70" s="324"/>
      <c r="CB70" s="157"/>
      <c r="CC70" s="153"/>
      <c r="CR70" s="152"/>
      <c r="CS70" s="152"/>
    </row>
    <row r="71" spans="1:97" ht="7.5" customHeight="1" x14ac:dyDescent="0.2">
      <c r="A71" s="484"/>
      <c r="B71" s="484"/>
      <c r="C71" s="484"/>
      <c r="D71" s="484"/>
      <c r="E71" s="569"/>
      <c r="F71" s="538"/>
      <c r="G71" s="538"/>
      <c r="H71" s="538"/>
      <c r="I71" s="538"/>
      <c r="J71" s="538">
        <v>31</v>
      </c>
      <c r="K71" s="538"/>
      <c r="L71" s="538"/>
      <c r="M71" s="538"/>
      <c r="N71" s="538"/>
      <c r="O71" s="539"/>
      <c r="P71" s="507"/>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c r="AZ71" s="508"/>
      <c r="BA71" s="509"/>
      <c r="BB71" s="424" t="s">
        <v>66</v>
      </c>
      <c r="BC71" s="363"/>
      <c r="BD71" s="363"/>
      <c r="BE71" s="363"/>
      <c r="BF71" s="363"/>
      <c r="BG71" s="363"/>
      <c r="BH71" s="364"/>
      <c r="BI71" s="370" t="str">
        <f>$CI$33</f>
        <v/>
      </c>
      <c r="BJ71" s="371"/>
      <c r="BK71" s="347"/>
      <c r="BL71" s="331" t="str">
        <f>$CJ$33</f>
        <v/>
      </c>
      <c r="BM71" s="347"/>
      <c r="BN71" s="331" t="str">
        <f>$CK$33</f>
        <v/>
      </c>
      <c r="BO71" s="332"/>
      <c r="BP71" s="335" t="str">
        <f>$CL$33</f>
        <v/>
      </c>
      <c r="BQ71" s="325"/>
      <c r="BR71" s="321" t="str">
        <f>$CM$33</f>
        <v/>
      </c>
      <c r="BS71" s="325"/>
      <c r="BT71" s="321" t="str">
        <f>$CN$33</f>
        <v/>
      </c>
      <c r="BU71" s="338"/>
      <c r="BV71" s="335" t="str">
        <f>$CO$33</f>
        <v/>
      </c>
      <c r="BW71" s="325"/>
      <c r="BX71" s="321" t="str">
        <f>$CP$33</f>
        <v/>
      </c>
      <c r="BY71" s="325"/>
      <c r="BZ71" s="321" t="str">
        <f>$CQ$33</f>
        <v>0</v>
      </c>
      <c r="CA71" s="322"/>
      <c r="CB71" s="158"/>
      <c r="CC71" s="153"/>
      <c r="CR71" s="152"/>
      <c r="CS71" s="152"/>
    </row>
    <row r="72" spans="1:97" ht="7.5" customHeight="1" x14ac:dyDescent="0.2">
      <c r="A72" s="484"/>
      <c r="B72" s="484"/>
      <c r="C72" s="484"/>
      <c r="D72" s="484"/>
      <c r="E72" s="569"/>
      <c r="F72" s="538"/>
      <c r="G72" s="538"/>
      <c r="H72" s="538"/>
      <c r="I72" s="538"/>
      <c r="J72" s="538"/>
      <c r="K72" s="538"/>
      <c r="L72" s="538"/>
      <c r="M72" s="538"/>
      <c r="N72" s="538"/>
      <c r="O72" s="539"/>
      <c r="P72" s="10" t="s">
        <v>67</v>
      </c>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2"/>
      <c r="BB72" s="429"/>
      <c r="BC72" s="366"/>
      <c r="BD72" s="366"/>
      <c r="BE72" s="366"/>
      <c r="BF72" s="366"/>
      <c r="BG72" s="366"/>
      <c r="BH72" s="367"/>
      <c r="BI72" s="372"/>
      <c r="BJ72" s="373"/>
      <c r="BK72" s="374"/>
      <c r="BL72" s="333"/>
      <c r="BM72" s="374"/>
      <c r="BN72" s="333"/>
      <c r="BO72" s="334"/>
      <c r="BP72" s="336"/>
      <c r="BQ72" s="337"/>
      <c r="BR72" s="323"/>
      <c r="BS72" s="337"/>
      <c r="BT72" s="323"/>
      <c r="BU72" s="339"/>
      <c r="BV72" s="336"/>
      <c r="BW72" s="337"/>
      <c r="BX72" s="323"/>
      <c r="BY72" s="337"/>
      <c r="BZ72" s="323"/>
      <c r="CA72" s="324"/>
      <c r="CB72" s="158"/>
      <c r="CC72" s="153"/>
      <c r="CR72" s="152"/>
      <c r="CS72" s="152"/>
    </row>
    <row r="73" spans="1:97" ht="15" customHeight="1" x14ac:dyDescent="0.2">
      <c r="A73" s="484"/>
      <c r="B73" s="484"/>
      <c r="C73" s="484"/>
      <c r="D73" s="484"/>
      <c r="E73" s="546" t="s">
        <v>71</v>
      </c>
      <c r="F73" s="547"/>
      <c r="G73" s="547"/>
      <c r="H73" s="547"/>
      <c r="I73" s="547"/>
      <c r="J73" s="547"/>
      <c r="K73" s="547"/>
      <c r="L73" s="547"/>
      <c r="M73" s="547"/>
      <c r="N73" s="547"/>
      <c r="O73" s="548"/>
      <c r="P73" s="13"/>
      <c r="Q73" s="14"/>
      <c r="R73" s="444" t="str">
        <f>IF(R11="","",R11)</f>
        <v/>
      </c>
      <c r="S73" s="444"/>
      <c r="T73" s="444"/>
      <c r="U73" s="444"/>
      <c r="V73" s="444"/>
      <c r="W73" s="444"/>
      <c r="X73" s="444"/>
      <c r="Y73" s="444"/>
      <c r="Z73" s="444"/>
      <c r="AA73" s="444"/>
      <c r="AB73" s="444"/>
      <c r="AC73" s="444"/>
      <c r="AD73" s="444"/>
      <c r="AE73" s="444"/>
      <c r="AF73" s="444"/>
      <c r="AG73" s="444"/>
      <c r="AH73" s="444"/>
      <c r="AI73" s="444"/>
      <c r="AJ73" s="444"/>
      <c r="AK73" s="444"/>
      <c r="AL73" s="444"/>
      <c r="AM73" s="444"/>
      <c r="AN73" s="444"/>
      <c r="AO73" s="444"/>
      <c r="AP73" s="444"/>
      <c r="AQ73" s="444"/>
      <c r="AR73" s="444"/>
      <c r="AS73" s="444"/>
      <c r="AT73" s="444"/>
      <c r="AU73" s="444"/>
      <c r="AV73" s="444"/>
      <c r="AW73" s="444"/>
      <c r="AX73" s="444"/>
      <c r="AY73" s="14"/>
      <c r="AZ73" s="14"/>
      <c r="BA73" s="15"/>
      <c r="BB73" s="445" t="s">
        <v>68</v>
      </c>
      <c r="BC73" s="446"/>
      <c r="BD73" s="448" t="s">
        <v>69</v>
      </c>
      <c r="BE73" s="448"/>
      <c r="BF73" s="449"/>
      <c r="BG73" s="449"/>
      <c r="BH73" s="450"/>
      <c r="BI73" s="375" t="str">
        <f>$CI$34</f>
        <v/>
      </c>
      <c r="BJ73" s="376"/>
      <c r="BK73" s="377"/>
      <c r="BL73" s="352" t="str">
        <f>$CJ$34</f>
        <v/>
      </c>
      <c r="BM73" s="377"/>
      <c r="BN73" s="352" t="str">
        <f>$CK$34</f>
        <v/>
      </c>
      <c r="BO73" s="353"/>
      <c r="BP73" s="354" t="str">
        <f>$CL$34</f>
        <v/>
      </c>
      <c r="BQ73" s="355"/>
      <c r="BR73" s="356" t="str">
        <f>$CM$34</f>
        <v/>
      </c>
      <c r="BS73" s="355"/>
      <c r="BT73" s="356" t="str">
        <f>$CN$34</f>
        <v/>
      </c>
      <c r="BU73" s="357"/>
      <c r="BV73" s="354" t="str">
        <f>$CO$34</f>
        <v/>
      </c>
      <c r="BW73" s="355"/>
      <c r="BX73" s="356" t="str">
        <f>$CP$34</f>
        <v/>
      </c>
      <c r="BY73" s="355"/>
      <c r="BZ73" s="358">
        <f>CQ93</f>
        <v>0</v>
      </c>
      <c r="CA73" s="359"/>
      <c r="CB73" s="158"/>
      <c r="CC73" s="153"/>
      <c r="CR73" s="152"/>
      <c r="CS73" s="152"/>
    </row>
    <row r="74" spans="1:97" ht="7.5" customHeight="1" x14ac:dyDescent="0.2">
      <c r="A74" s="484"/>
      <c r="B74" s="484"/>
      <c r="C74" s="484"/>
      <c r="D74" s="484"/>
      <c r="E74" s="549" t="s">
        <v>100</v>
      </c>
      <c r="F74" s="550"/>
      <c r="G74" s="550"/>
      <c r="H74" s="550"/>
      <c r="I74" s="550" t="s">
        <v>73</v>
      </c>
      <c r="J74" s="550"/>
      <c r="K74" s="550"/>
      <c r="L74" s="550" t="s">
        <v>101</v>
      </c>
      <c r="M74" s="550"/>
      <c r="N74" s="550"/>
      <c r="O74" s="551"/>
      <c r="P74" s="13"/>
      <c r="Q74" s="14"/>
      <c r="R74" s="444"/>
      <c r="S74" s="444"/>
      <c r="T74" s="444"/>
      <c r="U74" s="444"/>
      <c r="V74" s="444"/>
      <c r="W74" s="444"/>
      <c r="X74" s="444"/>
      <c r="Y74" s="444"/>
      <c r="Z74" s="444"/>
      <c r="AA74" s="444"/>
      <c r="AB74" s="444"/>
      <c r="AC74" s="444"/>
      <c r="AD74" s="444"/>
      <c r="AE74" s="444"/>
      <c r="AF74" s="444"/>
      <c r="AG74" s="444"/>
      <c r="AH74" s="444"/>
      <c r="AI74" s="444"/>
      <c r="AJ74" s="444"/>
      <c r="AK74" s="444"/>
      <c r="AL74" s="444"/>
      <c r="AM74" s="444"/>
      <c r="AN74" s="444"/>
      <c r="AO74" s="444"/>
      <c r="AP74" s="444"/>
      <c r="AQ74" s="444"/>
      <c r="AR74" s="444"/>
      <c r="AS74" s="444"/>
      <c r="AT74" s="444"/>
      <c r="AU74" s="444"/>
      <c r="AV74" s="444"/>
      <c r="AW74" s="444"/>
      <c r="AX74" s="444"/>
      <c r="AY74" s="14"/>
      <c r="AZ74" s="14"/>
      <c r="BA74" s="15"/>
      <c r="BB74" s="447"/>
      <c r="BC74" s="446"/>
      <c r="BD74" s="362" t="s">
        <v>70</v>
      </c>
      <c r="BE74" s="363"/>
      <c r="BF74" s="363"/>
      <c r="BG74" s="363"/>
      <c r="BH74" s="364"/>
      <c r="BI74" s="370" t="str">
        <f>$CI$35</f>
        <v/>
      </c>
      <c r="BJ74" s="371"/>
      <c r="BK74" s="347"/>
      <c r="BL74" s="331" t="str">
        <f>$CJ$35</f>
        <v/>
      </c>
      <c r="BM74" s="347"/>
      <c r="BN74" s="331" t="str">
        <f>$CK$35</f>
        <v/>
      </c>
      <c r="BO74" s="332"/>
      <c r="BP74" s="335" t="str">
        <f>$CL$35</f>
        <v/>
      </c>
      <c r="BQ74" s="325"/>
      <c r="BR74" s="321" t="str">
        <f>$CM$35</f>
        <v/>
      </c>
      <c r="BS74" s="325"/>
      <c r="BT74" s="321" t="str">
        <f>$CN$35</f>
        <v/>
      </c>
      <c r="BU74" s="338"/>
      <c r="BV74" s="335" t="str">
        <f>$CO$35</f>
        <v/>
      </c>
      <c r="BW74" s="325"/>
      <c r="BX74" s="321" t="str">
        <f>$CP$35</f>
        <v/>
      </c>
      <c r="BY74" s="325"/>
      <c r="BZ74" s="321" t="str">
        <f>$CQ$35</f>
        <v>0</v>
      </c>
      <c r="CA74" s="322"/>
      <c r="CB74" s="158"/>
      <c r="CC74" s="153"/>
      <c r="CR74" s="152"/>
      <c r="CS74" s="152"/>
    </row>
    <row r="75" spans="1:97" ht="7.5" customHeight="1" x14ac:dyDescent="0.2">
      <c r="A75" s="484"/>
      <c r="B75" s="484"/>
      <c r="C75" s="484"/>
      <c r="D75" s="484"/>
      <c r="E75" s="549"/>
      <c r="F75" s="550"/>
      <c r="G75" s="550"/>
      <c r="H75" s="550"/>
      <c r="I75" s="550"/>
      <c r="J75" s="550"/>
      <c r="K75" s="550"/>
      <c r="L75" s="550"/>
      <c r="M75" s="550"/>
      <c r="N75" s="550"/>
      <c r="O75" s="551"/>
      <c r="P75" s="13"/>
      <c r="Q75" s="14"/>
      <c r="R75" s="444"/>
      <c r="S75" s="444"/>
      <c r="T75" s="444"/>
      <c r="U75" s="444"/>
      <c r="V75" s="444"/>
      <c r="W75" s="444"/>
      <c r="X75" s="444"/>
      <c r="Y75" s="444"/>
      <c r="Z75" s="444"/>
      <c r="AA75" s="444"/>
      <c r="AB75" s="444"/>
      <c r="AC75" s="444"/>
      <c r="AD75" s="444"/>
      <c r="AE75" s="444"/>
      <c r="AF75" s="444"/>
      <c r="AG75" s="444"/>
      <c r="AH75" s="444"/>
      <c r="AI75" s="444"/>
      <c r="AJ75" s="444"/>
      <c r="AK75" s="444"/>
      <c r="AL75" s="444"/>
      <c r="AM75" s="444"/>
      <c r="AN75" s="444"/>
      <c r="AO75" s="444"/>
      <c r="AP75" s="444"/>
      <c r="AQ75" s="444"/>
      <c r="AR75" s="444"/>
      <c r="AS75" s="444"/>
      <c r="AT75" s="444"/>
      <c r="AU75" s="444"/>
      <c r="AV75" s="444"/>
      <c r="AW75" s="444"/>
      <c r="AX75" s="444"/>
      <c r="AY75" s="14"/>
      <c r="AZ75" s="14"/>
      <c r="BA75" s="15"/>
      <c r="BB75" s="447"/>
      <c r="BC75" s="446"/>
      <c r="BD75" s="365"/>
      <c r="BE75" s="366"/>
      <c r="BF75" s="366"/>
      <c r="BG75" s="366"/>
      <c r="BH75" s="367"/>
      <c r="BI75" s="372"/>
      <c r="BJ75" s="373"/>
      <c r="BK75" s="374"/>
      <c r="BL75" s="333"/>
      <c r="BM75" s="374"/>
      <c r="BN75" s="333"/>
      <c r="BO75" s="334"/>
      <c r="BP75" s="336"/>
      <c r="BQ75" s="337"/>
      <c r="BR75" s="323"/>
      <c r="BS75" s="337"/>
      <c r="BT75" s="323"/>
      <c r="BU75" s="339"/>
      <c r="BV75" s="336"/>
      <c r="BW75" s="337"/>
      <c r="BX75" s="323"/>
      <c r="BY75" s="337"/>
      <c r="BZ75" s="323"/>
      <c r="CA75" s="324"/>
      <c r="CB75" s="158"/>
      <c r="CC75" s="153"/>
      <c r="CR75" s="152"/>
      <c r="CS75" s="152"/>
    </row>
    <row r="76" spans="1:97" ht="7.5" customHeight="1" x14ac:dyDescent="0.2">
      <c r="A76" s="484"/>
      <c r="B76" s="484"/>
      <c r="C76" s="484"/>
      <c r="D76" s="484"/>
      <c r="E76" s="552"/>
      <c r="F76" s="534"/>
      <c r="G76" s="534"/>
      <c r="H76" s="534"/>
      <c r="I76" s="534"/>
      <c r="J76" s="534"/>
      <c r="K76" s="534"/>
      <c r="L76" s="534"/>
      <c r="M76" s="534"/>
      <c r="N76" s="534"/>
      <c r="O76" s="535"/>
      <c r="P76" s="13"/>
      <c r="Q76" s="14"/>
      <c r="R76" s="444"/>
      <c r="S76" s="444"/>
      <c r="T76" s="444"/>
      <c r="U76" s="444"/>
      <c r="V76" s="444"/>
      <c r="W76" s="444"/>
      <c r="X76" s="444"/>
      <c r="Y76" s="444"/>
      <c r="Z76" s="444"/>
      <c r="AA76" s="444"/>
      <c r="AB76" s="444"/>
      <c r="AC76" s="444"/>
      <c r="AD76" s="444"/>
      <c r="AE76" s="444"/>
      <c r="AF76" s="444"/>
      <c r="AG76" s="444"/>
      <c r="AH76" s="444"/>
      <c r="AI76" s="444"/>
      <c r="AJ76" s="444"/>
      <c r="AK76" s="444"/>
      <c r="AL76" s="444"/>
      <c r="AM76" s="444"/>
      <c r="AN76" s="444"/>
      <c r="AO76" s="444"/>
      <c r="AP76" s="444"/>
      <c r="AQ76" s="444"/>
      <c r="AR76" s="444"/>
      <c r="AS76" s="444"/>
      <c r="AT76" s="444"/>
      <c r="AU76" s="444"/>
      <c r="AV76" s="444"/>
      <c r="AW76" s="444"/>
      <c r="AX76" s="444"/>
      <c r="AY76" s="14"/>
      <c r="AZ76" s="14"/>
      <c r="BA76" s="15"/>
      <c r="BB76" s="447"/>
      <c r="BC76" s="446"/>
      <c r="BD76" s="362" t="s">
        <v>75</v>
      </c>
      <c r="BE76" s="363"/>
      <c r="BF76" s="363"/>
      <c r="BG76" s="363"/>
      <c r="BH76" s="364"/>
      <c r="BI76" s="370" t="str">
        <f>$CI$36</f>
        <v/>
      </c>
      <c r="BJ76" s="371"/>
      <c r="BK76" s="347"/>
      <c r="BL76" s="331" t="str">
        <f>$CJ$36</f>
        <v/>
      </c>
      <c r="BM76" s="347"/>
      <c r="BN76" s="331" t="str">
        <f>$CK$36</f>
        <v/>
      </c>
      <c r="BO76" s="332"/>
      <c r="BP76" s="335" t="str">
        <f>$CL$36</f>
        <v/>
      </c>
      <c r="BQ76" s="325"/>
      <c r="BR76" s="321" t="str">
        <f>$CM$36</f>
        <v/>
      </c>
      <c r="BS76" s="325"/>
      <c r="BT76" s="321" t="str">
        <f>$CN$36</f>
        <v/>
      </c>
      <c r="BU76" s="338"/>
      <c r="BV76" s="335" t="str">
        <f>$CO$36</f>
        <v/>
      </c>
      <c r="BW76" s="325"/>
      <c r="BX76" s="321" t="str">
        <f>$CP$36</f>
        <v/>
      </c>
      <c r="BY76" s="325"/>
      <c r="BZ76" s="321" t="str">
        <f>$CQ$36</f>
        <v>0</v>
      </c>
      <c r="CA76" s="322"/>
      <c r="CB76" s="158"/>
      <c r="CC76" s="153"/>
      <c r="CR76" s="152"/>
      <c r="CS76" s="152"/>
    </row>
    <row r="77" spans="1:97" ht="7.5" customHeight="1" x14ac:dyDescent="0.2">
      <c r="A77" s="484"/>
      <c r="B77" s="484"/>
      <c r="C77" s="484"/>
      <c r="D77" s="484"/>
      <c r="E77" s="552"/>
      <c r="F77" s="534"/>
      <c r="G77" s="534"/>
      <c r="H77" s="534"/>
      <c r="I77" s="534"/>
      <c r="J77" s="534"/>
      <c r="K77" s="534"/>
      <c r="L77" s="534"/>
      <c r="M77" s="534"/>
      <c r="N77" s="534"/>
      <c r="O77" s="535"/>
      <c r="P77" s="13"/>
      <c r="Q77" s="14"/>
      <c r="R77" s="444"/>
      <c r="S77" s="444"/>
      <c r="T77" s="444"/>
      <c r="U77" s="444"/>
      <c r="V77" s="444"/>
      <c r="W77" s="444"/>
      <c r="X77" s="444"/>
      <c r="Y77" s="444"/>
      <c r="Z77" s="444"/>
      <c r="AA77" s="444"/>
      <c r="AB77" s="444"/>
      <c r="AC77" s="444"/>
      <c r="AD77" s="444"/>
      <c r="AE77" s="444"/>
      <c r="AF77" s="444"/>
      <c r="AG77" s="444"/>
      <c r="AH77" s="444"/>
      <c r="AI77" s="444"/>
      <c r="AJ77" s="444"/>
      <c r="AK77" s="444"/>
      <c r="AL77" s="444"/>
      <c r="AM77" s="444"/>
      <c r="AN77" s="444"/>
      <c r="AO77" s="444"/>
      <c r="AP77" s="444"/>
      <c r="AQ77" s="444"/>
      <c r="AR77" s="444"/>
      <c r="AS77" s="444"/>
      <c r="AT77" s="444"/>
      <c r="AU77" s="444"/>
      <c r="AV77" s="444"/>
      <c r="AW77" s="444"/>
      <c r="AX77" s="444"/>
      <c r="AY77" s="14"/>
      <c r="AZ77" s="14"/>
      <c r="BA77" s="15"/>
      <c r="BB77" s="447"/>
      <c r="BC77" s="446"/>
      <c r="BD77" s="365"/>
      <c r="BE77" s="366"/>
      <c r="BF77" s="366"/>
      <c r="BG77" s="366"/>
      <c r="BH77" s="367"/>
      <c r="BI77" s="372"/>
      <c r="BJ77" s="373"/>
      <c r="BK77" s="374"/>
      <c r="BL77" s="333"/>
      <c r="BM77" s="374"/>
      <c r="BN77" s="333"/>
      <c r="BO77" s="334"/>
      <c r="BP77" s="336"/>
      <c r="BQ77" s="337"/>
      <c r="BR77" s="323"/>
      <c r="BS77" s="337"/>
      <c r="BT77" s="323"/>
      <c r="BU77" s="339"/>
      <c r="BV77" s="336"/>
      <c r="BW77" s="337"/>
      <c r="BX77" s="323"/>
      <c r="BY77" s="337"/>
      <c r="BZ77" s="323"/>
      <c r="CA77" s="324"/>
      <c r="CB77" s="158"/>
      <c r="CC77" s="153"/>
      <c r="CR77" s="152"/>
      <c r="CS77" s="152"/>
    </row>
    <row r="78" spans="1:97" ht="7.5" customHeight="1" x14ac:dyDescent="0.2">
      <c r="A78" s="484"/>
      <c r="B78" s="484"/>
      <c r="C78" s="484"/>
      <c r="D78" s="484"/>
      <c r="E78" s="552"/>
      <c r="F78" s="534"/>
      <c r="G78" s="534"/>
      <c r="H78" s="534"/>
      <c r="I78" s="534"/>
      <c r="J78" s="534"/>
      <c r="K78" s="534"/>
      <c r="L78" s="534"/>
      <c r="M78" s="534"/>
      <c r="N78" s="534"/>
      <c r="O78" s="535"/>
      <c r="P78" s="16"/>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8"/>
      <c r="BB78" s="424" t="s">
        <v>79</v>
      </c>
      <c r="BC78" s="363"/>
      <c r="BD78" s="363"/>
      <c r="BE78" s="363"/>
      <c r="BF78" s="363"/>
      <c r="BG78" s="363"/>
      <c r="BH78" s="364"/>
      <c r="BI78" s="370" t="str">
        <f>$CI$37</f>
        <v/>
      </c>
      <c r="BJ78" s="371"/>
      <c r="BK78" s="347"/>
      <c r="BL78" s="331" t="str">
        <f>$CJ$37</f>
        <v/>
      </c>
      <c r="BM78" s="347"/>
      <c r="BN78" s="331" t="str">
        <f>$CK$37</f>
        <v/>
      </c>
      <c r="BO78" s="332"/>
      <c r="BP78" s="346" t="str">
        <f>$CL$37</f>
        <v/>
      </c>
      <c r="BQ78" s="347"/>
      <c r="BR78" s="321" t="str">
        <f>$CM$37</f>
        <v/>
      </c>
      <c r="BS78" s="325"/>
      <c r="BT78" s="321" t="str">
        <f>$CN$37</f>
        <v/>
      </c>
      <c r="BU78" s="338"/>
      <c r="BV78" s="335" t="str">
        <f>$CO$37</f>
        <v/>
      </c>
      <c r="BW78" s="325"/>
      <c r="BX78" s="321" t="str">
        <f>$CP$37</f>
        <v/>
      </c>
      <c r="BY78" s="325"/>
      <c r="BZ78" s="321" t="str">
        <f>$CQ$37</f>
        <v>0</v>
      </c>
      <c r="CA78" s="322"/>
      <c r="CB78" s="158"/>
      <c r="CC78" s="153"/>
      <c r="CR78" s="152"/>
      <c r="CS78" s="152"/>
    </row>
    <row r="79" spans="1:97" ht="7.5" customHeight="1" x14ac:dyDescent="0.15">
      <c r="A79" s="484"/>
      <c r="B79" s="484"/>
      <c r="C79" s="484"/>
      <c r="D79" s="484"/>
      <c r="E79" s="552"/>
      <c r="F79" s="534"/>
      <c r="G79" s="534"/>
      <c r="H79" s="534"/>
      <c r="I79" s="534"/>
      <c r="J79" s="534"/>
      <c r="K79" s="534"/>
      <c r="L79" s="534"/>
      <c r="M79" s="534"/>
      <c r="N79" s="534"/>
      <c r="O79" s="535"/>
      <c r="P79" s="10" t="s">
        <v>80</v>
      </c>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20"/>
      <c r="BB79" s="454"/>
      <c r="BC79" s="455"/>
      <c r="BD79" s="455"/>
      <c r="BE79" s="455"/>
      <c r="BF79" s="455"/>
      <c r="BG79" s="455"/>
      <c r="BH79" s="456"/>
      <c r="BI79" s="536"/>
      <c r="BJ79" s="537"/>
      <c r="BK79" s="349"/>
      <c r="BL79" s="453"/>
      <c r="BM79" s="349"/>
      <c r="BN79" s="453"/>
      <c r="BO79" s="457"/>
      <c r="BP79" s="348"/>
      <c r="BQ79" s="349"/>
      <c r="BR79" s="326"/>
      <c r="BS79" s="327"/>
      <c r="BT79" s="326"/>
      <c r="BU79" s="350"/>
      <c r="BV79" s="351"/>
      <c r="BW79" s="327"/>
      <c r="BX79" s="326"/>
      <c r="BY79" s="327"/>
      <c r="BZ79" s="326"/>
      <c r="CA79" s="328"/>
      <c r="CB79" s="159"/>
      <c r="CC79" s="153"/>
      <c r="CR79" s="152"/>
      <c r="CS79" s="152"/>
    </row>
    <row r="80" spans="1:97" ht="15" customHeight="1" x14ac:dyDescent="0.15">
      <c r="A80" s="484"/>
      <c r="B80" s="484"/>
      <c r="C80" s="484"/>
      <c r="D80" s="484"/>
      <c r="E80" s="549"/>
      <c r="F80" s="550"/>
      <c r="G80" s="550"/>
      <c r="H80" s="550"/>
      <c r="I80" s="550"/>
      <c r="J80" s="550"/>
      <c r="K80" s="550"/>
      <c r="L80" s="550"/>
      <c r="M80" s="550"/>
      <c r="N80" s="550"/>
      <c r="O80" s="551"/>
      <c r="P80" s="23"/>
      <c r="Q80" s="24"/>
      <c r="R80" s="460" t="str">
        <f>IF(R18="","",R18)</f>
        <v/>
      </c>
      <c r="S80" s="460"/>
      <c r="T80" s="460"/>
      <c r="U80" s="460"/>
      <c r="V80" s="460"/>
      <c r="W80" s="460"/>
      <c r="X80" s="460"/>
      <c r="Y80" s="460"/>
      <c r="Z80" s="460"/>
      <c r="AA80" s="460"/>
      <c r="AB80" s="460"/>
      <c r="AC80" s="460"/>
      <c r="AD80" s="460"/>
      <c r="AE80" s="460"/>
      <c r="AF80" s="460"/>
      <c r="AG80" s="460"/>
      <c r="AH80" s="460"/>
      <c r="AI80" s="460"/>
      <c r="AJ80" s="460"/>
      <c r="AK80" s="460"/>
      <c r="AL80" s="460"/>
      <c r="AM80" s="460"/>
      <c r="AN80" s="460"/>
      <c r="AO80" s="460"/>
      <c r="AP80" s="460"/>
      <c r="AQ80" s="460"/>
      <c r="AR80" s="460"/>
      <c r="AS80" s="460"/>
      <c r="AT80" s="460"/>
      <c r="AU80" s="460"/>
      <c r="AV80" s="460"/>
      <c r="AW80" s="460"/>
      <c r="AX80" s="460"/>
      <c r="AY80" s="24"/>
      <c r="AZ80" s="24"/>
      <c r="BA80" s="25"/>
      <c r="BB80" s="461" t="s">
        <v>81</v>
      </c>
      <c r="BC80" s="462"/>
      <c r="BD80" s="462"/>
      <c r="BE80" s="462"/>
      <c r="BF80" s="462"/>
      <c r="BG80" s="462"/>
      <c r="BH80" s="463"/>
      <c r="BI80" s="464" t="str">
        <f>BI18</f>
        <v/>
      </c>
      <c r="BJ80" s="465"/>
      <c r="BK80" s="465"/>
      <c r="BL80" s="465"/>
      <c r="BM80" s="465"/>
      <c r="BN80" s="465"/>
      <c r="BO80" s="465"/>
      <c r="BP80" s="465"/>
      <c r="BQ80" s="465"/>
      <c r="BR80" s="465"/>
      <c r="BS80" s="465"/>
      <c r="BT80" s="465"/>
      <c r="BU80" s="465"/>
      <c r="BV80" s="465"/>
      <c r="BW80" s="465"/>
      <c r="BX80" s="465"/>
      <c r="BY80" s="465"/>
      <c r="BZ80" s="465"/>
      <c r="CA80" s="466"/>
      <c r="CB80" s="159"/>
      <c r="CC80" s="153"/>
      <c r="CR80" s="152"/>
      <c r="CS80" s="152"/>
    </row>
    <row r="81" spans="1:97" ht="9.75" customHeight="1" x14ac:dyDescent="0.55000000000000004">
      <c r="A81" s="484"/>
      <c r="B81" s="484"/>
      <c r="C81" s="484"/>
      <c r="D81" s="484"/>
      <c r="E81" s="21"/>
      <c r="F81" s="2"/>
      <c r="G81" s="2"/>
      <c r="H81" s="2"/>
      <c r="I81" s="2"/>
      <c r="J81" s="2"/>
      <c r="K81" s="2"/>
      <c r="L81" s="2"/>
      <c r="M81" s="2"/>
      <c r="N81" s="2"/>
      <c r="O81" s="2"/>
      <c r="P81" s="26"/>
      <c r="Q81" s="27"/>
      <c r="R81" s="460" t="str">
        <f>IF(R19="","",R19)</f>
        <v/>
      </c>
      <c r="S81" s="460"/>
      <c r="T81" s="460"/>
      <c r="U81" s="460"/>
      <c r="V81" s="460"/>
      <c r="W81" s="460"/>
      <c r="X81" s="460"/>
      <c r="Y81" s="460"/>
      <c r="Z81" s="460"/>
      <c r="AA81" s="460"/>
      <c r="AB81" s="460"/>
      <c r="AC81" s="460"/>
      <c r="AD81" s="460"/>
      <c r="AE81" s="460"/>
      <c r="AF81" s="460"/>
      <c r="AG81" s="460"/>
      <c r="AH81" s="460"/>
      <c r="AI81" s="460"/>
      <c r="AJ81" s="460"/>
      <c r="AK81" s="460"/>
      <c r="AL81" s="460"/>
      <c r="AM81" s="460"/>
      <c r="AN81" s="460"/>
      <c r="AO81" s="460"/>
      <c r="AP81" s="460"/>
      <c r="AQ81" s="460"/>
      <c r="AR81" s="460"/>
      <c r="AS81" s="460"/>
      <c r="AT81" s="460"/>
      <c r="AU81" s="460"/>
      <c r="AV81" s="460"/>
      <c r="AW81" s="460"/>
      <c r="AX81" s="468" t="s">
        <v>82</v>
      </c>
      <c r="AY81" s="468"/>
      <c r="AZ81" s="468"/>
      <c r="BA81" s="27"/>
      <c r="BB81" s="470" t="s">
        <v>83</v>
      </c>
      <c r="BC81" s="471"/>
      <c r="BD81" s="471"/>
      <c r="BE81" s="471"/>
      <c r="BF81" s="471"/>
      <c r="BG81" s="471"/>
      <c r="BH81" s="471"/>
      <c r="BI81" s="471"/>
      <c r="BJ81" s="471"/>
      <c r="BK81" s="471"/>
      <c r="BL81" s="471"/>
      <c r="BM81" s="471"/>
      <c r="BN81" s="472"/>
      <c r="BO81" s="473" t="s">
        <v>84</v>
      </c>
      <c r="BP81" s="329"/>
      <c r="BQ81" s="329"/>
      <c r="BR81" s="329"/>
      <c r="BS81" s="329"/>
      <c r="BT81" s="329"/>
      <c r="BU81" s="329"/>
      <c r="BV81" s="329"/>
      <c r="BW81" s="329"/>
      <c r="BX81" s="329"/>
      <c r="BY81" s="329"/>
      <c r="BZ81" s="329"/>
      <c r="CA81" s="330"/>
      <c r="CB81" s="153"/>
      <c r="CC81" s="153"/>
      <c r="CR81" s="152"/>
      <c r="CS81" s="152"/>
    </row>
    <row r="82" spans="1:97" ht="9.75" customHeight="1" x14ac:dyDescent="0.55000000000000004">
      <c r="A82" s="484"/>
      <c r="B82" s="484"/>
      <c r="C82" s="484"/>
      <c r="D82" s="484"/>
      <c r="E82" s="21"/>
      <c r="F82" s="2"/>
      <c r="G82" s="2"/>
      <c r="H82" s="2"/>
      <c r="I82" s="2"/>
      <c r="J82" s="2"/>
      <c r="K82" s="2"/>
      <c r="L82" s="2"/>
      <c r="M82" s="2"/>
      <c r="N82" s="2"/>
      <c r="O82" s="2"/>
      <c r="P82" s="26"/>
      <c r="Q82" s="27"/>
      <c r="R82" s="467"/>
      <c r="S82" s="467"/>
      <c r="T82" s="467"/>
      <c r="U82" s="467"/>
      <c r="V82" s="467"/>
      <c r="W82" s="467"/>
      <c r="X82" s="467"/>
      <c r="Y82" s="467"/>
      <c r="Z82" s="467"/>
      <c r="AA82" s="467"/>
      <c r="AB82" s="467"/>
      <c r="AC82" s="467"/>
      <c r="AD82" s="467"/>
      <c r="AE82" s="467"/>
      <c r="AF82" s="467"/>
      <c r="AG82" s="467"/>
      <c r="AH82" s="467"/>
      <c r="AI82" s="467"/>
      <c r="AJ82" s="467"/>
      <c r="AK82" s="467"/>
      <c r="AL82" s="467"/>
      <c r="AM82" s="467"/>
      <c r="AN82" s="467"/>
      <c r="AO82" s="467"/>
      <c r="AP82" s="467"/>
      <c r="AQ82" s="467"/>
      <c r="AR82" s="467"/>
      <c r="AS82" s="467"/>
      <c r="AT82" s="467"/>
      <c r="AU82" s="467"/>
      <c r="AV82" s="467"/>
      <c r="AW82" s="467"/>
      <c r="AX82" s="469"/>
      <c r="AY82" s="469"/>
      <c r="AZ82" s="469"/>
      <c r="BA82" s="27"/>
      <c r="BB82" s="474" t="s">
        <v>85</v>
      </c>
      <c r="BC82" s="475"/>
      <c r="BD82" s="475"/>
      <c r="BE82" s="475"/>
      <c r="BF82" s="475"/>
      <c r="BG82" s="475"/>
      <c r="BH82" s="475"/>
      <c r="BI82" s="475"/>
      <c r="BJ82" s="475"/>
      <c r="BK82" s="475"/>
      <c r="BL82" s="475"/>
      <c r="BM82" s="475"/>
      <c r="BN82" s="475"/>
      <c r="BO82" s="478" t="s">
        <v>86</v>
      </c>
      <c r="BP82" s="428"/>
      <c r="BQ82" s="428"/>
      <c r="BR82" s="428"/>
      <c r="BS82" s="428"/>
      <c r="BT82" s="428"/>
      <c r="BU82" s="428"/>
      <c r="BV82" s="428"/>
      <c r="BW82" s="428"/>
      <c r="BX82" s="428"/>
      <c r="BY82" s="428"/>
      <c r="BZ82" s="428"/>
      <c r="CA82" s="479"/>
      <c r="CB82" s="153"/>
      <c r="CC82" s="153"/>
      <c r="CR82" s="152"/>
      <c r="CS82" s="152"/>
    </row>
    <row r="83" spans="1:97" ht="9.65" customHeight="1" x14ac:dyDescent="0.55000000000000004">
      <c r="A83" s="484"/>
      <c r="B83" s="484"/>
      <c r="C83" s="484"/>
      <c r="D83" s="484"/>
      <c r="E83" s="21"/>
      <c r="F83" s="2"/>
      <c r="G83" s="2"/>
      <c r="H83" s="2"/>
      <c r="I83" s="2"/>
      <c r="J83" s="2"/>
      <c r="K83" s="2"/>
      <c r="L83" s="2"/>
      <c r="M83" s="2"/>
      <c r="N83" s="2"/>
      <c r="O83" s="2"/>
      <c r="P83" s="26"/>
      <c r="Q83" s="27"/>
      <c r="R83" s="27"/>
      <c r="S83" s="27"/>
      <c r="T83" s="27"/>
      <c r="U83" s="27"/>
      <c r="V83" s="27"/>
      <c r="W83" s="27"/>
      <c r="X83" s="27"/>
      <c r="Y83" s="27"/>
      <c r="Z83" s="27"/>
      <c r="AA83" s="27"/>
      <c r="AB83" s="27"/>
      <c r="AC83" s="27"/>
      <c r="AD83" s="27"/>
      <c r="AE83" s="27"/>
      <c r="AF83" s="27"/>
      <c r="AG83" s="27"/>
      <c r="AH83" s="27"/>
      <c r="AI83" s="27"/>
      <c r="AJ83" s="27"/>
      <c r="AK83" s="2"/>
      <c r="AL83" s="2"/>
      <c r="AM83" s="2"/>
      <c r="AN83" s="2"/>
      <c r="AO83" s="2"/>
      <c r="AP83" s="2"/>
      <c r="AQ83" s="2"/>
      <c r="AR83" s="2"/>
      <c r="AS83" s="2"/>
      <c r="AT83" s="2"/>
      <c r="AU83" s="2"/>
      <c r="AV83" s="2"/>
      <c r="AW83" s="2"/>
      <c r="AX83" s="2"/>
      <c r="AY83" s="2"/>
      <c r="AZ83" s="2"/>
      <c r="BA83" s="2"/>
      <c r="BB83" s="476"/>
      <c r="BC83" s="477"/>
      <c r="BD83" s="477"/>
      <c r="BE83" s="477"/>
      <c r="BF83" s="477"/>
      <c r="BG83" s="477"/>
      <c r="BH83" s="477"/>
      <c r="BI83" s="477"/>
      <c r="BJ83" s="477"/>
      <c r="BK83" s="477"/>
      <c r="BL83" s="477"/>
      <c r="BM83" s="477"/>
      <c r="BN83" s="477"/>
      <c r="BO83" s="478"/>
      <c r="BP83" s="428"/>
      <c r="BQ83" s="428"/>
      <c r="BR83" s="428"/>
      <c r="BS83" s="428"/>
      <c r="BT83" s="428"/>
      <c r="BU83" s="428"/>
      <c r="BV83" s="428"/>
      <c r="BW83" s="428"/>
      <c r="BX83" s="428"/>
      <c r="BY83" s="428"/>
      <c r="BZ83" s="428"/>
      <c r="CA83" s="479"/>
      <c r="CB83" s="153"/>
      <c r="CC83" s="153"/>
      <c r="CR83" s="152"/>
      <c r="CS83" s="152"/>
    </row>
    <row r="84" spans="1:97" ht="9.65" customHeight="1" x14ac:dyDescent="0.55000000000000004">
      <c r="A84" s="484"/>
      <c r="B84" s="484"/>
      <c r="C84" s="484"/>
      <c r="D84" s="484"/>
      <c r="E84" s="21"/>
      <c r="F84" s="2"/>
      <c r="G84" s="2"/>
      <c r="H84" s="2"/>
      <c r="I84" s="2"/>
      <c r="J84" s="2"/>
      <c r="K84" s="2"/>
      <c r="L84" s="2"/>
      <c r="M84" s="2"/>
      <c r="N84" s="2"/>
      <c r="O84" s="22"/>
      <c r="P84" s="26"/>
      <c r="Q84" s="27"/>
      <c r="R84" s="27"/>
      <c r="S84" s="27"/>
      <c r="T84" s="27"/>
      <c r="U84" s="27"/>
      <c r="V84" s="27"/>
      <c r="W84" s="27"/>
      <c r="X84" s="27"/>
      <c r="Y84" s="27"/>
      <c r="Z84" s="27"/>
      <c r="AA84" s="27"/>
      <c r="AB84" s="27"/>
      <c r="AC84" s="27"/>
      <c r="AD84" s="27"/>
      <c r="AE84" s="27"/>
      <c r="AF84" s="27"/>
      <c r="AG84" s="27"/>
      <c r="AH84" s="27"/>
      <c r="AI84" s="27"/>
      <c r="AJ84" s="27"/>
      <c r="AK84" s="2"/>
      <c r="AL84" s="2"/>
      <c r="AM84" s="2"/>
      <c r="AN84" s="2"/>
      <c r="AO84" s="2"/>
      <c r="AP84" s="2"/>
      <c r="AQ84" s="2"/>
      <c r="AR84" s="2"/>
      <c r="AS84" s="2"/>
      <c r="AT84" s="2"/>
      <c r="AU84" s="2"/>
      <c r="AV84" s="2"/>
      <c r="AW84" s="2"/>
      <c r="AX84" s="2"/>
      <c r="AY84" s="2"/>
      <c r="AZ84" s="2"/>
      <c r="BA84" s="2"/>
      <c r="BB84" s="476"/>
      <c r="BC84" s="477"/>
      <c r="BD84" s="477"/>
      <c r="BE84" s="477"/>
      <c r="BF84" s="477"/>
      <c r="BG84" s="477"/>
      <c r="BH84" s="477"/>
      <c r="BI84" s="477"/>
      <c r="BJ84" s="477"/>
      <c r="BK84" s="477"/>
      <c r="BL84" s="477"/>
      <c r="BM84" s="477"/>
      <c r="BN84" s="477"/>
      <c r="BO84" s="478"/>
      <c r="BP84" s="428"/>
      <c r="BQ84" s="428"/>
      <c r="BR84" s="428"/>
      <c r="BS84" s="428"/>
      <c r="BT84" s="428"/>
      <c r="BU84" s="428"/>
      <c r="BV84" s="428"/>
      <c r="BW84" s="428"/>
      <c r="BX84" s="428"/>
      <c r="BY84" s="428"/>
      <c r="BZ84" s="428"/>
      <c r="CA84" s="479"/>
      <c r="CB84" s="153"/>
      <c r="CC84" s="153"/>
      <c r="CR84" s="152"/>
      <c r="CS84" s="152"/>
    </row>
    <row r="85" spans="1:97" ht="9.65" customHeight="1" x14ac:dyDescent="0.55000000000000004">
      <c r="A85" s="484"/>
      <c r="B85" s="484"/>
      <c r="C85" s="484"/>
      <c r="D85" s="484"/>
      <c r="E85" s="42" t="s">
        <v>102</v>
      </c>
      <c r="F85" s="43"/>
      <c r="G85" s="43"/>
      <c r="H85" s="43"/>
      <c r="I85" s="43"/>
      <c r="J85" s="43"/>
      <c r="K85" s="43"/>
      <c r="L85" s="43"/>
      <c r="M85" s="43"/>
      <c r="N85" s="43"/>
      <c r="O85" s="43"/>
      <c r="P85" s="43"/>
      <c r="Q85" s="43"/>
      <c r="R85" s="43"/>
      <c r="S85" s="43"/>
      <c r="T85" s="43"/>
      <c r="U85" s="28"/>
      <c r="V85" s="28"/>
      <c r="W85" s="28"/>
      <c r="X85" s="28"/>
      <c r="Y85" s="28"/>
      <c r="Z85" s="28"/>
      <c r="AA85" s="28"/>
      <c r="AB85" s="28"/>
      <c r="AC85" s="44"/>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9"/>
      <c r="BO85" s="428"/>
      <c r="BP85" s="428"/>
      <c r="BQ85" s="428"/>
      <c r="BR85" s="428"/>
      <c r="BS85" s="428"/>
      <c r="BT85" s="428"/>
      <c r="BU85" s="428"/>
      <c r="BV85" s="428"/>
      <c r="BW85" s="428"/>
      <c r="BX85" s="428"/>
      <c r="BY85" s="428"/>
      <c r="BZ85" s="428"/>
      <c r="CA85" s="479"/>
      <c r="CB85" s="157"/>
      <c r="CC85" s="153"/>
      <c r="CR85" s="152"/>
      <c r="CS85" s="152"/>
    </row>
    <row r="86" spans="1:97" ht="9.65" customHeight="1" x14ac:dyDescent="0.55000000000000004">
      <c r="A86" s="160"/>
      <c r="B86" s="30"/>
      <c r="C86" s="30"/>
      <c r="D86" s="30"/>
      <c r="E86" s="553" t="s">
        <v>103</v>
      </c>
      <c r="F86" s="554"/>
      <c r="G86" s="554"/>
      <c r="H86" s="554"/>
      <c r="I86" s="554"/>
      <c r="J86" s="554"/>
      <c r="K86" s="554"/>
      <c r="L86" s="554"/>
      <c r="M86" s="554"/>
      <c r="N86" s="554"/>
      <c r="O86" s="554"/>
      <c r="P86" s="554"/>
      <c r="Q86" s="554"/>
      <c r="R86" s="554"/>
      <c r="S86" s="554"/>
      <c r="T86" s="554"/>
      <c r="U86" s="554"/>
      <c r="V86" s="554"/>
      <c r="W86" s="554"/>
      <c r="X86" s="554"/>
      <c r="Y86" s="554"/>
      <c r="Z86" s="554"/>
      <c r="AA86" s="554"/>
      <c r="AB86" s="554"/>
      <c r="AC86" s="555"/>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31"/>
      <c r="BN86" s="32"/>
      <c r="BO86" s="428"/>
      <c r="BP86" s="428"/>
      <c r="BQ86" s="428"/>
      <c r="BR86" s="428"/>
      <c r="BS86" s="428"/>
      <c r="BT86" s="428"/>
      <c r="BU86" s="428"/>
      <c r="BV86" s="428"/>
      <c r="BW86" s="428"/>
      <c r="BX86" s="428"/>
      <c r="BY86" s="428"/>
      <c r="BZ86" s="428"/>
      <c r="CA86" s="479"/>
      <c r="CB86" s="157"/>
      <c r="CC86" s="153"/>
      <c r="CR86" s="152"/>
      <c r="CS86" s="152"/>
    </row>
    <row r="87" spans="1:97" ht="5.15" customHeight="1" x14ac:dyDescent="0.55000000000000004">
      <c r="A87" s="160"/>
      <c r="B87" s="30"/>
      <c r="C87" s="30"/>
      <c r="D87" s="30"/>
      <c r="E87" s="556"/>
      <c r="F87" s="557"/>
      <c r="G87" s="557"/>
      <c r="H87" s="557"/>
      <c r="I87" s="557"/>
      <c r="J87" s="557"/>
      <c r="K87" s="557"/>
      <c r="L87" s="557"/>
      <c r="M87" s="557"/>
      <c r="N87" s="557"/>
      <c r="O87" s="557"/>
      <c r="P87" s="557"/>
      <c r="Q87" s="557"/>
      <c r="R87" s="557"/>
      <c r="S87" s="557"/>
      <c r="T87" s="557"/>
      <c r="U87" s="557"/>
      <c r="V87" s="557"/>
      <c r="W87" s="557"/>
      <c r="X87" s="557"/>
      <c r="Y87" s="557"/>
      <c r="Z87" s="557"/>
      <c r="AA87" s="557"/>
      <c r="AB87" s="557"/>
      <c r="AC87" s="558"/>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33"/>
      <c r="BO87" s="428"/>
      <c r="BP87" s="428"/>
      <c r="BQ87" s="428"/>
      <c r="BR87" s="428"/>
      <c r="BS87" s="428"/>
      <c r="BT87" s="428"/>
      <c r="BU87" s="428"/>
      <c r="BV87" s="428"/>
      <c r="BW87" s="428"/>
      <c r="BX87" s="428"/>
      <c r="BY87" s="428"/>
      <c r="BZ87" s="428"/>
      <c r="CA87" s="479"/>
      <c r="CB87" s="153"/>
      <c r="CC87" s="153"/>
      <c r="CR87" s="152"/>
      <c r="CS87" s="152"/>
    </row>
    <row r="88" spans="1:97" ht="9.65" customHeight="1" x14ac:dyDescent="0.55000000000000004">
      <c r="A88" s="153"/>
      <c r="B88" s="541" t="s">
        <v>104</v>
      </c>
      <c r="C88" s="542"/>
      <c r="D88" s="2"/>
      <c r="E88" s="45" t="s">
        <v>105</v>
      </c>
      <c r="F88" s="46"/>
      <c r="G88" s="46"/>
      <c r="H88" s="46"/>
      <c r="I88" s="46"/>
      <c r="J88" s="46"/>
      <c r="K88" s="46"/>
      <c r="L88" s="46"/>
      <c r="M88" s="46"/>
      <c r="N88" s="46"/>
      <c r="O88" s="46"/>
      <c r="P88" s="46"/>
      <c r="Q88" s="46"/>
      <c r="R88" s="46"/>
      <c r="S88" s="46"/>
      <c r="T88" s="46"/>
      <c r="U88" s="46"/>
      <c r="V88" s="46"/>
      <c r="W88" s="46"/>
      <c r="X88" s="46"/>
      <c r="Y88" s="46"/>
      <c r="Z88" s="46"/>
      <c r="AA88" s="46"/>
      <c r="AB88" s="46"/>
      <c r="AC88" s="47"/>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33"/>
      <c r="BO88" s="428"/>
      <c r="BP88" s="428"/>
      <c r="BQ88" s="428"/>
      <c r="BR88" s="428"/>
      <c r="BS88" s="428"/>
      <c r="BT88" s="428"/>
      <c r="BU88" s="428"/>
      <c r="BV88" s="428"/>
      <c r="BW88" s="428"/>
      <c r="BX88" s="428"/>
      <c r="BY88" s="428"/>
      <c r="BZ88" s="428"/>
      <c r="CA88" s="479"/>
      <c r="CB88" s="153"/>
      <c r="CC88" s="153"/>
      <c r="CR88" s="152"/>
      <c r="CS88" s="152"/>
    </row>
    <row r="89" spans="1:97" ht="14.15" customHeight="1" x14ac:dyDescent="0.55000000000000004">
      <c r="A89" s="153"/>
      <c r="B89" s="543"/>
      <c r="C89" s="544"/>
      <c r="D89" s="2"/>
      <c r="E89" s="461" t="s">
        <v>106</v>
      </c>
      <c r="F89" s="462"/>
      <c r="G89" s="462"/>
      <c r="H89" s="462"/>
      <c r="I89" s="462"/>
      <c r="J89" s="462"/>
      <c r="K89" s="462"/>
      <c r="L89" s="462"/>
      <c r="M89" s="462"/>
      <c r="N89" s="462"/>
      <c r="O89" s="462"/>
      <c r="P89" s="462"/>
      <c r="Q89" s="462"/>
      <c r="R89" s="462"/>
      <c r="S89" s="462"/>
      <c r="T89" s="462"/>
      <c r="U89" s="462"/>
      <c r="V89" s="462"/>
      <c r="W89" s="462"/>
      <c r="X89" s="462"/>
      <c r="Y89" s="462"/>
      <c r="Z89" s="462"/>
      <c r="AA89" s="462"/>
      <c r="AB89" s="462"/>
      <c r="AC89" s="54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6"/>
      <c r="BO89" s="462"/>
      <c r="BP89" s="462"/>
      <c r="BQ89" s="462"/>
      <c r="BR89" s="462"/>
      <c r="BS89" s="462"/>
      <c r="BT89" s="462"/>
      <c r="BU89" s="462"/>
      <c r="BV89" s="462"/>
      <c r="BW89" s="462"/>
      <c r="BX89" s="462"/>
      <c r="BY89" s="462"/>
      <c r="BZ89" s="462"/>
      <c r="CA89" s="463"/>
      <c r="CB89" s="153"/>
      <c r="CC89" s="153"/>
      <c r="CR89" s="152"/>
      <c r="CS89" s="152"/>
    </row>
    <row r="90" spans="1:97" ht="11.25" customHeight="1" x14ac:dyDescent="0.55000000000000004">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3"/>
      <c r="CD90" s="152"/>
      <c r="CE90" s="152"/>
      <c r="CF90" s="166"/>
      <c r="CG90" s="152"/>
      <c r="CH90" s="152"/>
      <c r="CI90" s="152"/>
      <c r="CJ90" s="152"/>
      <c r="CK90" s="152"/>
      <c r="CL90" s="152"/>
      <c r="CM90" s="152"/>
      <c r="CN90" s="152"/>
      <c r="CO90" s="152"/>
      <c r="CP90" s="152"/>
      <c r="CQ90" s="152"/>
      <c r="CR90" s="152"/>
      <c r="CS90" s="152"/>
    </row>
    <row r="91" spans="1:97" ht="11.25" customHeight="1" x14ac:dyDescent="0.55000000000000004">
      <c r="A91" s="152"/>
      <c r="CC91" s="152"/>
      <c r="CR91" s="152"/>
      <c r="CS91" s="152"/>
    </row>
    <row r="92" spans="1:97" ht="11.25" customHeight="1" x14ac:dyDescent="0.55000000000000004">
      <c r="A92" s="152"/>
      <c r="CC92" s="152"/>
      <c r="CR92" s="152"/>
      <c r="CS92" s="152"/>
    </row>
    <row r="93" spans="1:97" ht="11.25" customHeight="1" x14ac:dyDescent="0.55000000000000004">
      <c r="A93" s="152"/>
      <c r="CC93" s="152"/>
      <c r="CR93" s="152"/>
      <c r="CS93" s="152"/>
    </row>
    <row r="94" spans="1:97" ht="9.5" customHeight="1" x14ac:dyDescent="0.55000000000000004">
      <c r="A94" s="152"/>
      <c r="CC94" s="152"/>
      <c r="CR94" s="152"/>
      <c r="CS94" s="152"/>
    </row>
    <row r="95" spans="1:97" ht="11.25" customHeight="1" x14ac:dyDescent="0.55000000000000004">
      <c r="A95" s="152"/>
      <c r="CR95" s="152"/>
      <c r="CS95" s="152"/>
    </row>
    <row r="96" spans="1:97" ht="11.25" customHeight="1" x14ac:dyDescent="0.55000000000000004">
      <c r="A96" s="152"/>
      <c r="B96" s="1" t="s">
        <v>646</v>
      </c>
    </row>
    <row r="97" spans="1:78" ht="11.25" customHeight="1" x14ac:dyDescent="0.55000000000000004">
      <c r="A97" s="152"/>
      <c r="C97" s="1" t="s">
        <v>647</v>
      </c>
    </row>
    <row r="98" spans="1:78" ht="70.5" customHeight="1" x14ac:dyDescent="0.55000000000000004">
      <c r="A98" s="152"/>
      <c r="C98" s="559" t="s">
        <v>649</v>
      </c>
      <c r="D98" s="559"/>
      <c r="E98" s="559"/>
      <c r="F98" s="559"/>
      <c r="G98" s="559"/>
      <c r="H98" s="559"/>
      <c r="I98" s="559"/>
      <c r="J98" s="559"/>
      <c r="K98" s="559"/>
      <c r="L98" s="559"/>
      <c r="M98" s="559"/>
      <c r="N98" s="559"/>
      <c r="O98" s="559"/>
      <c r="P98" s="559"/>
      <c r="Q98" s="559"/>
      <c r="R98" s="559"/>
      <c r="S98" s="559"/>
      <c r="T98" s="559"/>
      <c r="U98" s="559"/>
      <c r="V98" s="559"/>
      <c r="W98" s="559"/>
      <c r="X98" s="559"/>
      <c r="Y98" s="559"/>
      <c r="Z98" s="559"/>
      <c r="AA98" s="559"/>
      <c r="AB98" s="559"/>
      <c r="AC98" s="559"/>
      <c r="AD98" s="559"/>
      <c r="AE98" s="559"/>
      <c r="AF98" s="559"/>
      <c r="AG98" s="559"/>
      <c r="AH98" s="559"/>
      <c r="AI98" s="559"/>
      <c r="AJ98" s="559"/>
      <c r="AK98" s="559"/>
      <c r="AL98" s="559"/>
      <c r="AM98" s="559"/>
      <c r="AN98" s="559"/>
      <c r="AO98" s="559"/>
      <c r="AP98" s="559"/>
      <c r="AQ98" s="559"/>
      <c r="AR98" s="559"/>
      <c r="AS98" s="559"/>
      <c r="AT98" s="559"/>
      <c r="AU98" s="559"/>
      <c r="AV98" s="559"/>
      <c r="AW98" s="559"/>
      <c r="AX98" s="559"/>
      <c r="AY98" s="559"/>
      <c r="AZ98" s="559"/>
      <c r="BA98" s="559"/>
      <c r="BB98" s="559"/>
      <c r="BC98" s="559"/>
      <c r="BD98" s="559"/>
      <c r="BE98" s="559"/>
      <c r="BF98" s="559"/>
      <c r="BG98" s="559"/>
      <c r="BH98" s="559"/>
      <c r="BI98" s="559"/>
      <c r="BJ98" s="559"/>
      <c r="BK98" s="559"/>
      <c r="BL98" s="559"/>
      <c r="BM98" s="559"/>
      <c r="BN98" s="559"/>
      <c r="BO98" s="559"/>
      <c r="BP98" s="559"/>
      <c r="BQ98" s="559"/>
      <c r="BR98" s="559"/>
      <c r="BS98" s="559"/>
      <c r="BT98" s="559"/>
      <c r="BU98" s="559"/>
      <c r="BV98" s="559"/>
      <c r="BW98" s="559"/>
      <c r="BX98" s="559"/>
      <c r="BY98" s="559"/>
      <c r="BZ98" s="559"/>
    </row>
    <row r="99" spans="1:78" ht="11.25" customHeight="1" x14ac:dyDescent="0.55000000000000004">
      <c r="A99" s="152"/>
      <c r="C99" s="560" t="s">
        <v>648</v>
      </c>
      <c r="D99" s="560"/>
      <c r="E99" s="560"/>
      <c r="F99" s="560"/>
      <c r="G99" s="560"/>
      <c r="H99" s="560"/>
      <c r="I99" s="560"/>
      <c r="J99" s="560"/>
      <c r="K99" s="560"/>
      <c r="L99" s="560"/>
      <c r="M99" s="560"/>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60"/>
      <c r="AQ99" s="560"/>
      <c r="AR99" s="560"/>
      <c r="AS99" s="560"/>
      <c r="AT99" s="560"/>
      <c r="AU99" s="560"/>
      <c r="AV99" s="560"/>
      <c r="AW99" s="560"/>
      <c r="AX99" s="560"/>
      <c r="AY99" s="560"/>
      <c r="AZ99" s="560"/>
      <c r="BA99" s="560"/>
      <c r="BB99" s="560"/>
      <c r="BC99" s="560"/>
      <c r="BD99" s="560"/>
      <c r="BE99" s="560"/>
      <c r="BF99" s="560"/>
      <c r="BG99" s="560"/>
      <c r="BH99" s="560"/>
      <c r="BI99" s="560"/>
      <c r="BJ99" s="560"/>
      <c r="BK99" s="560"/>
      <c r="BL99" s="560"/>
      <c r="BM99" s="560"/>
      <c r="BN99" s="560"/>
      <c r="BO99" s="560"/>
      <c r="BP99" s="560"/>
      <c r="BQ99" s="560"/>
      <c r="BR99" s="560"/>
      <c r="BS99" s="560"/>
      <c r="BT99" s="560"/>
      <c r="BU99" s="560"/>
      <c r="BV99" s="560"/>
      <c r="BW99" s="560"/>
      <c r="BX99" s="560"/>
      <c r="BY99" s="560"/>
      <c r="BZ99" s="560"/>
    </row>
    <row r="100" spans="1:78" ht="21.65" customHeight="1" x14ac:dyDescent="0.55000000000000004">
      <c r="A100" s="152"/>
      <c r="C100" s="559" t="s">
        <v>650</v>
      </c>
      <c r="D100" s="559"/>
      <c r="E100" s="559"/>
      <c r="F100" s="559"/>
      <c r="G100" s="559"/>
      <c r="H100" s="559"/>
      <c r="I100" s="559"/>
      <c r="J100" s="559"/>
      <c r="K100" s="559"/>
      <c r="L100" s="559"/>
      <c r="M100" s="559"/>
      <c r="N100" s="559"/>
      <c r="O100" s="559"/>
      <c r="P100" s="559"/>
      <c r="Q100" s="559"/>
      <c r="R100" s="559"/>
      <c r="S100" s="559"/>
      <c r="T100" s="559"/>
      <c r="U100" s="559"/>
      <c r="V100" s="559"/>
      <c r="W100" s="559"/>
      <c r="X100" s="559"/>
      <c r="Y100" s="559"/>
      <c r="Z100" s="559"/>
      <c r="AA100" s="559"/>
      <c r="AB100" s="559"/>
      <c r="AC100" s="559"/>
      <c r="AD100" s="559"/>
      <c r="AE100" s="559"/>
      <c r="AF100" s="559"/>
      <c r="AG100" s="559"/>
      <c r="AH100" s="559"/>
      <c r="AI100" s="559"/>
      <c r="AJ100" s="559"/>
      <c r="AK100" s="559"/>
      <c r="AL100" s="559"/>
      <c r="AM100" s="559"/>
      <c r="AN100" s="559"/>
      <c r="AO100" s="559"/>
      <c r="AP100" s="559"/>
      <c r="AQ100" s="559"/>
      <c r="AR100" s="559"/>
      <c r="AS100" s="559"/>
      <c r="AT100" s="559"/>
      <c r="AU100" s="559"/>
      <c r="AV100" s="559"/>
      <c r="AW100" s="559"/>
      <c r="AX100" s="559"/>
      <c r="AY100" s="559"/>
      <c r="AZ100" s="559"/>
      <c r="BA100" s="559"/>
      <c r="BB100" s="559"/>
      <c r="BC100" s="559"/>
      <c r="BD100" s="559"/>
      <c r="BE100" s="559"/>
      <c r="BF100" s="559"/>
      <c r="BG100" s="559"/>
      <c r="BH100" s="559"/>
      <c r="BI100" s="559"/>
      <c r="BJ100" s="559"/>
      <c r="BK100" s="559"/>
      <c r="BL100" s="559"/>
      <c r="BM100" s="559"/>
      <c r="BN100" s="559"/>
      <c r="BO100" s="559"/>
      <c r="BP100" s="559"/>
      <c r="BQ100" s="559"/>
      <c r="BR100" s="559"/>
      <c r="BS100" s="559"/>
      <c r="BT100" s="559"/>
      <c r="BU100" s="559"/>
      <c r="BV100" s="559"/>
      <c r="BW100" s="559"/>
      <c r="BX100" s="559"/>
      <c r="BY100" s="559"/>
      <c r="BZ100" s="559"/>
    </row>
    <row r="101" spans="1:78" ht="38.5" customHeight="1" x14ac:dyDescent="0.55000000000000004">
      <c r="A101" s="152"/>
      <c r="C101" s="559" t="s">
        <v>651</v>
      </c>
      <c r="D101" s="559"/>
      <c r="E101" s="559"/>
      <c r="F101" s="559"/>
      <c r="G101" s="559"/>
      <c r="H101" s="559"/>
      <c r="I101" s="559"/>
      <c r="J101" s="559"/>
      <c r="K101" s="559"/>
      <c r="L101" s="559"/>
      <c r="M101" s="559"/>
      <c r="N101" s="559"/>
      <c r="O101" s="559"/>
      <c r="P101" s="559"/>
      <c r="Q101" s="559"/>
      <c r="R101" s="559"/>
      <c r="S101" s="559"/>
      <c r="T101" s="559"/>
      <c r="U101" s="559"/>
      <c r="V101" s="559"/>
      <c r="W101" s="559"/>
      <c r="X101" s="559"/>
      <c r="Y101" s="559"/>
      <c r="Z101" s="559"/>
      <c r="AA101" s="559"/>
      <c r="AB101" s="559"/>
      <c r="AC101" s="559"/>
      <c r="AD101" s="559"/>
      <c r="AE101" s="559"/>
      <c r="AF101" s="559"/>
      <c r="AG101" s="559"/>
      <c r="AH101" s="559"/>
      <c r="AI101" s="559"/>
      <c r="AJ101" s="559"/>
      <c r="AK101" s="559"/>
      <c r="AL101" s="559"/>
      <c r="AM101" s="559"/>
      <c r="AN101" s="559"/>
      <c r="AO101" s="559"/>
      <c r="AP101" s="559"/>
      <c r="AQ101" s="559"/>
      <c r="AR101" s="559"/>
      <c r="AS101" s="559"/>
      <c r="AT101" s="559"/>
      <c r="AU101" s="559"/>
      <c r="AV101" s="559"/>
      <c r="AW101" s="559"/>
      <c r="AX101" s="559"/>
      <c r="AY101" s="559"/>
      <c r="AZ101" s="559"/>
      <c r="BA101" s="559"/>
      <c r="BB101" s="559"/>
      <c r="BC101" s="559"/>
      <c r="BD101" s="559"/>
      <c r="BE101" s="559"/>
      <c r="BF101" s="559"/>
      <c r="BG101" s="559"/>
      <c r="BH101" s="559"/>
      <c r="BI101" s="559"/>
      <c r="BJ101" s="559"/>
      <c r="BK101" s="559"/>
      <c r="BL101" s="559"/>
      <c r="BM101" s="559"/>
      <c r="BN101" s="559"/>
      <c r="BO101" s="559"/>
      <c r="BP101" s="559"/>
      <c r="BQ101" s="559"/>
      <c r="BR101" s="559"/>
      <c r="BS101" s="559"/>
      <c r="BT101" s="559"/>
      <c r="BU101" s="559"/>
      <c r="BV101" s="559"/>
      <c r="BW101" s="559"/>
      <c r="BX101" s="559"/>
      <c r="BY101" s="559"/>
      <c r="BZ101" s="559"/>
    </row>
    <row r="102" spans="1:78" ht="52" customHeight="1" x14ac:dyDescent="0.55000000000000004">
      <c r="A102" s="152"/>
      <c r="C102" s="559" t="s">
        <v>652</v>
      </c>
      <c r="D102" s="559"/>
      <c r="E102" s="559"/>
      <c r="F102" s="559"/>
      <c r="G102" s="559"/>
      <c r="H102" s="559"/>
      <c r="I102" s="559"/>
      <c r="J102" s="559"/>
      <c r="K102" s="559"/>
      <c r="L102" s="559"/>
      <c r="M102" s="559"/>
      <c r="N102" s="559"/>
      <c r="O102" s="559"/>
      <c r="P102" s="559"/>
      <c r="Q102" s="559"/>
      <c r="R102" s="559"/>
      <c r="S102" s="559"/>
      <c r="T102" s="559"/>
      <c r="U102" s="559"/>
      <c r="V102" s="559"/>
      <c r="W102" s="559"/>
      <c r="X102" s="559"/>
      <c r="Y102" s="559"/>
      <c r="Z102" s="559"/>
      <c r="AA102" s="559"/>
      <c r="AB102" s="559"/>
      <c r="AC102" s="559"/>
      <c r="AD102" s="559"/>
      <c r="AE102" s="559"/>
      <c r="AF102" s="559"/>
      <c r="AG102" s="559"/>
      <c r="AH102" s="559"/>
      <c r="AI102" s="559"/>
      <c r="AJ102" s="559"/>
      <c r="AK102" s="559"/>
      <c r="AL102" s="559"/>
      <c r="AM102" s="559"/>
      <c r="AN102" s="559"/>
      <c r="AO102" s="559"/>
      <c r="AP102" s="559"/>
      <c r="AQ102" s="559"/>
      <c r="AR102" s="559"/>
      <c r="AS102" s="559"/>
      <c r="AT102" s="559"/>
      <c r="AU102" s="559"/>
      <c r="AV102" s="559"/>
      <c r="AW102" s="559"/>
      <c r="AX102" s="559"/>
      <c r="AY102" s="559"/>
      <c r="AZ102" s="559"/>
      <c r="BA102" s="559"/>
      <c r="BB102" s="559"/>
      <c r="BC102" s="559"/>
      <c r="BD102" s="559"/>
      <c r="BE102" s="559"/>
      <c r="BF102" s="559"/>
      <c r="BG102" s="559"/>
      <c r="BH102" s="559"/>
      <c r="BI102" s="559"/>
      <c r="BJ102" s="559"/>
      <c r="BK102" s="559"/>
      <c r="BL102" s="559"/>
      <c r="BM102" s="559"/>
      <c r="BN102" s="559"/>
      <c r="BO102" s="559"/>
      <c r="BP102" s="559"/>
      <c r="BQ102" s="559"/>
      <c r="BR102" s="559"/>
      <c r="BS102" s="559"/>
      <c r="BT102" s="559"/>
      <c r="BU102" s="559"/>
      <c r="BV102" s="559"/>
      <c r="BW102" s="559"/>
      <c r="BX102" s="559"/>
      <c r="BY102" s="559"/>
      <c r="BZ102" s="559"/>
    </row>
    <row r="103" spans="1:78" ht="11.25" customHeight="1" x14ac:dyDescent="0.55000000000000004">
      <c r="A103" s="152"/>
    </row>
    <row r="104" spans="1:78" ht="11.25" customHeight="1" x14ac:dyDescent="0.55000000000000004"/>
    <row r="105" spans="1:78" ht="11.25" customHeight="1" x14ac:dyDescent="0.55000000000000004"/>
    <row r="106" spans="1:78" ht="11.25" customHeight="1" x14ac:dyDescent="0.55000000000000004"/>
    <row r="107" spans="1:78" ht="11.25" customHeight="1" x14ac:dyDescent="0.55000000000000004"/>
    <row r="108" spans="1:78" ht="11.25" customHeight="1" x14ac:dyDescent="0.55000000000000004"/>
    <row r="109" spans="1:78" ht="11.25" customHeight="1" x14ac:dyDescent="0.55000000000000004"/>
    <row r="110" spans="1:78" ht="11.25" customHeight="1" x14ac:dyDescent="0.55000000000000004"/>
    <row r="111" spans="1:78" ht="11.25" customHeight="1" x14ac:dyDescent="0.55000000000000004"/>
    <row r="112" spans="1:78" ht="11.25" customHeight="1" x14ac:dyDescent="0.55000000000000004"/>
    <row r="113" ht="11.25" customHeight="1" x14ac:dyDescent="0.55000000000000004"/>
    <row r="114" ht="11.25" customHeight="1" x14ac:dyDescent="0.55000000000000004"/>
    <row r="115" ht="11.25" customHeight="1" x14ac:dyDescent="0.55000000000000004"/>
    <row r="116" ht="11.25" customHeight="1" x14ac:dyDescent="0.55000000000000004"/>
    <row r="117" ht="11.25" customHeight="1" x14ac:dyDescent="0.55000000000000004"/>
    <row r="118" ht="11.25" customHeight="1" x14ac:dyDescent="0.55000000000000004"/>
    <row r="119" ht="11.25" customHeight="1" x14ac:dyDescent="0.55000000000000004"/>
    <row r="120" ht="11.25" customHeight="1" x14ac:dyDescent="0.55000000000000004"/>
    <row r="121" ht="11.25" customHeight="1" x14ac:dyDescent="0.55000000000000004"/>
    <row r="122" ht="11.25" customHeight="1" x14ac:dyDescent="0.55000000000000004"/>
    <row r="123" ht="11.25" customHeight="1" x14ac:dyDescent="0.55000000000000004"/>
    <row r="124" ht="11.25" customHeight="1" x14ac:dyDescent="0.55000000000000004"/>
    <row r="125" ht="11.25" customHeight="1" x14ac:dyDescent="0.55000000000000004"/>
    <row r="126" ht="11.25" customHeight="1" x14ac:dyDescent="0.55000000000000004"/>
    <row r="127" ht="11.25" customHeight="1" x14ac:dyDescent="0.55000000000000004"/>
    <row r="128" ht="11.25" customHeight="1" x14ac:dyDescent="0.55000000000000004"/>
    <row r="129" ht="11.25" customHeight="1" x14ac:dyDescent="0.55000000000000004"/>
    <row r="130" ht="11.25" customHeight="1" x14ac:dyDescent="0.55000000000000004"/>
    <row r="131" ht="11.25" customHeight="1" x14ac:dyDescent="0.55000000000000004"/>
    <row r="132" ht="11.25" customHeight="1" x14ac:dyDescent="0.55000000000000004"/>
    <row r="133" ht="11.25" customHeight="1" x14ac:dyDescent="0.55000000000000004"/>
    <row r="134" ht="11.25" customHeight="1" x14ac:dyDescent="0.55000000000000004"/>
    <row r="135" ht="11.25" customHeight="1" x14ac:dyDescent="0.55000000000000004"/>
    <row r="136" ht="11.25" customHeight="1" x14ac:dyDescent="0.55000000000000004"/>
    <row r="137" ht="11.25" customHeight="1" x14ac:dyDescent="0.55000000000000004"/>
    <row r="138" ht="11.25" customHeight="1" x14ac:dyDescent="0.55000000000000004"/>
    <row r="139" ht="11.25" customHeight="1" x14ac:dyDescent="0.55000000000000004"/>
    <row r="140" ht="11.25" customHeight="1" x14ac:dyDescent="0.55000000000000004"/>
    <row r="141" ht="11.25" customHeight="1" x14ac:dyDescent="0.55000000000000004"/>
    <row r="142" ht="11.25" customHeight="1" x14ac:dyDescent="0.55000000000000004"/>
    <row r="143" ht="11.25" customHeight="1" x14ac:dyDescent="0.55000000000000004"/>
    <row r="144" ht="11.25" customHeight="1" x14ac:dyDescent="0.55000000000000004"/>
    <row r="145" ht="11.25" customHeight="1" x14ac:dyDescent="0.55000000000000004"/>
    <row r="146" ht="11.25" customHeight="1" x14ac:dyDescent="0.55000000000000004"/>
    <row r="147" ht="11.25" customHeight="1" x14ac:dyDescent="0.55000000000000004"/>
    <row r="148" ht="11.25" customHeight="1" x14ac:dyDescent="0.55000000000000004"/>
    <row r="149" ht="11.25" customHeight="1" x14ac:dyDescent="0.55000000000000004"/>
    <row r="150" ht="11.25" customHeight="1" x14ac:dyDescent="0.55000000000000004"/>
    <row r="151" ht="11.25" customHeight="1" x14ac:dyDescent="0.55000000000000004"/>
    <row r="152" ht="11.25" customHeight="1" x14ac:dyDescent="0.55000000000000004"/>
    <row r="153" ht="11.25" customHeight="1" x14ac:dyDescent="0.55000000000000004"/>
    <row r="154" ht="11.25" customHeight="1" x14ac:dyDescent="0.55000000000000004"/>
    <row r="155" ht="11.25" customHeight="1" x14ac:dyDescent="0.55000000000000004"/>
    <row r="156" ht="11.25" customHeight="1" x14ac:dyDescent="0.55000000000000004"/>
    <row r="157" ht="11.25" customHeight="1" x14ac:dyDescent="0.55000000000000004"/>
    <row r="158" ht="11.25" customHeight="1" x14ac:dyDescent="0.55000000000000004"/>
    <row r="159" ht="11.25" customHeight="1" x14ac:dyDescent="0.55000000000000004"/>
    <row r="160" ht="11.25" customHeight="1" x14ac:dyDescent="0.55000000000000004"/>
    <row r="161" ht="11.25" customHeight="1" x14ac:dyDescent="0.55000000000000004"/>
    <row r="162" ht="11.25" customHeight="1" x14ac:dyDescent="0.55000000000000004"/>
    <row r="163" ht="11.25" customHeight="1" x14ac:dyDescent="0.55000000000000004"/>
    <row r="164" ht="11.25" customHeight="1" x14ac:dyDescent="0.55000000000000004"/>
    <row r="165" ht="11.25" customHeight="1" x14ac:dyDescent="0.55000000000000004"/>
    <row r="166" ht="11.25" customHeight="1" x14ac:dyDescent="0.55000000000000004"/>
    <row r="167" ht="11.25" customHeight="1" x14ac:dyDescent="0.55000000000000004"/>
    <row r="168" ht="11.25" customHeight="1" x14ac:dyDescent="0.55000000000000004"/>
    <row r="169" ht="11.25" customHeight="1" x14ac:dyDescent="0.55000000000000004"/>
    <row r="170" ht="11.25" customHeight="1" x14ac:dyDescent="0.55000000000000004"/>
    <row r="171" ht="11.25" customHeight="1" x14ac:dyDescent="0.55000000000000004"/>
    <row r="172" ht="11.25" customHeight="1" x14ac:dyDescent="0.55000000000000004"/>
    <row r="173" ht="11.25" customHeight="1" x14ac:dyDescent="0.55000000000000004"/>
    <row r="174" ht="11.25" customHeight="1" x14ac:dyDescent="0.55000000000000004"/>
    <row r="175" ht="11.25" customHeight="1" x14ac:dyDescent="0.55000000000000004"/>
    <row r="176" ht="11.25" customHeight="1" x14ac:dyDescent="0.55000000000000004"/>
    <row r="177" ht="11.25" customHeight="1" x14ac:dyDescent="0.55000000000000004"/>
    <row r="178" ht="11.25" customHeight="1" x14ac:dyDescent="0.55000000000000004"/>
    <row r="179" ht="11.25" customHeight="1" x14ac:dyDescent="0.55000000000000004"/>
    <row r="180" ht="11.25" customHeight="1" x14ac:dyDescent="0.55000000000000004"/>
    <row r="181" ht="11.25" customHeight="1" x14ac:dyDescent="0.55000000000000004"/>
    <row r="182" ht="11.25" customHeight="1" x14ac:dyDescent="0.55000000000000004"/>
    <row r="183" ht="11.25" customHeight="1" x14ac:dyDescent="0.55000000000000004"/>
    <row r="184" ht="11.25" customHeight="1" x14ac:dyDescent="0.55000000000000004"/>
    <row r="185" ht="11.25" customHeight="1" x14ac:dyDescent="0.55000000000000004"/>
    <row r="186" ht="11.25" customHeight="1" x14ac:dyDescent="0.55000000000000004"/>
    <row r="187" ht="11.25" customHeight="1" x14ac:dyDescent="0.55000000000000004"/>
    <row r="188" ht="11.25" customHeight="1" x14ac:dyDescent="0.55000000000000004"/>
    <row r="189" ht="11.25" customHeight="1" x14ac:dyDescent="0.55000000000000004"/>
    <row r="190" ht="11.25" customHeight="1" x14ac:dyDescent="0.55000000000000004"/>
    <row r="191" ht="11.25" customHeight="1" x14ac:dyDescent="0.55000000000000004"/>
    <row r="192" ht="11.25" customHeight="1" x14ac:dyDescent="0.55000000000000004"/>
    <row r="193" ht="11.25" customHeight="1" x14ac:dyDescent="0.55000000000000004"/>
    <row r="194" ht="11.25" customHeight="1" x14ac:dyDescent="0.55000000000000004"/>
    <row r="195" ht="11.25" customHeight="1" x14ac:dyDescent="0.55000000000000004"/>
    <row r="196" ht="11.25" customHeight="1" x14ac:dyDescent="0.55000000000000004"/>
    <row r="197" ht="11.25" customHeight="1" x14ac:dyDescent="0.55000000000000004"/>
    <row r="198" ht="11.25" customHeight="1" x14ac:dyDescent="0.55000000000000004"/>
    <row r="199" ht="11.25" customHeight="1" x14ac:dyDescent="0.55000000000000004"/>
    <row r="200" ht="11.25" customHeight="1" x14ac:dyDescent="0.55000000000000004"/>
    <row r="201" ht="11.25" customHeight="1" x14ac:dyDescent="0.55000000000000004"/>
    <row r="202" ht="11.25" customHeight="1" x14ac:dyDescent="0.55000000000000004"/>
    <row r="203" ht="11.25" customHeight="1" x14ac:dyDescent="0.55000000000000004"/>
    <row r="204" ht="11.25" customHeight="1" x14ac:dyDescent="0.55000000000000004"/>
    <row r="205" ht="11.25" customHeight="1" x14ac:dyDescent="0.55000000000000004"/>
    <row r="206" ht="11.25" customHeight="1" x14ac:dyDescent="0.55000000000000004"/>
    <row r="207" ht="11.25" customHeight="1" x14ac:dyDescent="0.55000000000000004"/>
    <row r="208" ht="11.25" customHeight="1" x14ac:dyDescent="0.55000000000000004"/>
    <row r="209" ht="11.25" customHeight="1" x14ac:dyDescent="0.55000000000000004"/>
    <row r="210" ht="11.25" customHeight="1" x14ac:dyDescent="0.55000000000000004"/>
    <row r="211" ht="11.25" customHeight="1" x14ac:dyDescent="0.55000000000000004"/>
    <row r="212" ht="11.25" customHeight="1" x14ac:dyDescent="0.55000000000000004"/>
    <row r="213" ht="11.25" customHeight="1" x14ac:dyDescent="0.55000000000000004"/>
    <row r="214" ht="11.25" customHeight="1" x14ac:dyDescent="0.55000000000000004"/>
    <row r="215" ht="11.25" customHeight="1" x14ac:dyDescent="0.55000000000000004"/>
    <row r="216" ht="11.25" customHeight="1" x14ac:dyDescent="0.55000000000000004"/>
    <row r="217" ht="11.25" customHeight="1" x14ac:dyDescent="0.55000000000000004"/>
    <row r="218" ht="11.25" customHeight="1" x14ac:dyDescent="0.55000000000000004"/>
    <row r="219" ht="11.25" customHeight="1" x14ac:dyDescent="0.55000000000000004"/>
    <row r="220" ht="11.25" customHeight="1" x14ac:dyDescent="0.55000000000000004"/>
    <row r="221" ht="11.25" customHeight="1" x14ac:dyDescent="0.55000000000000004"/>
    <row r="222" ht="11.25" customHeight="1" x14ac:dyDescent="0.55000000000000004"/>
    <row r="223" ht="11.25" customHeight="1" x14ac:dyDescent="0.55000000000000004"/>
    <row r="224" ht="11.25" customHeight="1" x14ac:dyDescent="0.55000000000000004"/>
    <row r="225" ht="11.25" customHeight="1" x14ac:dyDescent="0.55000000000000004"/>
    <row r="226" ht="11.25" customHeight="1" x14ac:dyDescent="0.55000000000000004"/>
    <row r="227" ht="11.25" customHeight="1" x14ac:dyDescent="0.55000000000000004"/>
    <row r="228" ht="11.25" customHeight="1" x14ac:dyDescent="0.55000000000000004"/>
    <row r="229" ht="11.25" customHeight="1" x14ac:dyDescent="0.55000000000000004"/>
    <row r="230" ht="11.25" customHeight="1" x14ac:dyDescent="0.55000000000000004"/>
    <row r="231" ht="11.25" customHeight="1" x14ac:dyDescent="0.55000000000000004"/>
    <row r="232" ht="11.25" customHeight="1" x14ac:dyDescent="0.55000000000000004"/>
    <row r="233" ht="11.25" customHeight="1" x14ac:dyDescent="0.55000000000000004"/>
    <row r="234" ht="11.25" customHeight="1" x14ac:dyDescent="0.55000000000000004"/>
    <row r="235" ht="11.25" customHeight="1" x14ac:dyDescent="0.55000000000000004"/>
    <row r="236" ht="11.25" customHeight="1" x14ac:dyDescent="0.55000000000000004"/>
    <row r="237" ht="11.25" customHeight="1" x14ac:dyDescent="0.55000000000000004"/>
    <row r="238" ht="11.25" customHeight="1" x14ac:dyDescent="0.55000000000000004"/>
    <row r="239" ht="11.25" customHeight="1" x14ac:dyDescent="0.55000000000000004"/>
    <row r="240" ht="11.25" customHeight="1" x14ac:dyDescent="0.55000000000000004"/>
    <row r="241" ht="11.25" customHeight="1" x14ac:dyDescent="0.55000000000000004"/>
    <row r="242" ht="11.25" customHeight="1" x14ac:dyDescent="0.55000000000000004"/>
    <row r="243" ht="11.25" customHeight="1" x14ac:dyDescent="0.55000000000000004"/>
  </sheetData>
  <sheetProtection algorithmName="SHA-512" hashValue="07HtoXTE53IlCGh2QfeV+6aWm+yIDFpfP0ZZ0ArVCnuGLkG5nSC9kugFPHK/W/D8PP9B4jPF3o7AlE7fsCySQg==" saltValue="ZBu5AeEGI3cx4/p1t10v7g==" spinCount="100000" sheet="1" objects="1" formatCells="0" selectLockedCells="1"/>
  <mergeCells count="352">
    <mergeCell ref="BB38:BH39"/>
    <mergeCell ref="AJ66:AM66"/>
    <mergeCell ref="AO66:AU66"/>
    <mergeCell ref="BB69:BH70"/>
    <mergeCell ref="E69:G70"/>
    <mergeCell ref="M69:O70"/>
    <mergeCell ref="J69:L70"/>
    <mergeCell ref="H69:I70"/>
    <mergeCell ref="P68:BA71"/>
    <mergeCell ref="BD43:BH44"/>
    <mergeCell ref="BD45:BH46"/>
    <mergeCell ref="BB51:BN53"/>
    <mergeCell ref="BB47:BH48"/>
    <mergeCell ref="BN47:BO48"/>
    <mergeCell ref="R42:AX46"/>
    <mergeCell ref="BB42:BC46"/>
    <mergeCell ref="BD42:BH42"/>
    <mergeCell ref="BI45:BK46"/>
    <mergeCell ref="BL45:BM46"/>
    <mergeCell ref="BL47:BM48"/>
    <mergeCell ref="BI47:BK48"/>
    <mergeCell ref="C100:BZ100"/>
    <mergeCell ref="C101:BZ101"/>
    <mergeCell ref="C102:BZ102"/>
    <mergeCell ref="BP14:BQ15"/>
    <mergeCell ref="BR14:BS15"/>
    <mergeCell ref="BT14:BU15"/>
    <mergeCell ref="BV14:BW15"/>
    <mergeCell ref="BX14:BY15"/>
    <mergeCell ref="BZ14:CA15"/>
    <mergeCell ref="BI16:BK17"/>
    <mergeCell ref="R81:AW82"/>
    <mergeCell ref="AX81:AZ82"/>
    <mergeCell ref="BB81:BN81"/>
    <mergeCell ref="BD76:BH77"/>
    <mergeCell ref="R73:AX77"/>
    <mergeCell ref="BB73:BC77"/>
    <mergeCell ref="BD73:BH73"/>
    <mergeCell ref="BD74:BH75"/>
    <mergeCell ref="BB82:BN84"/>
    <mergeCell ref="AV67:BK67"/>
    <mergeCell ref="BL67:BO67"/>
    <mergeCell ref="BC56:BE58"/>
    <mergeCell ref="E78:H79"/>
    <mergeCell ref="I78:K79"/>
    <mergeCell ref="BZ12:CA13"/>
    <mergeCell ref="C98:BZ98"/>
    <mergeCell ref="C99:BZ99"/>
    <mergeCell ref="BI56:BK58"/>
    <mergeCell ref="BL56:BN58"/>
    <mergeCell ref="BO51:CA58"/>
    <mergeCell ref="E54:T55"/>
    <mergeCell ref="E56:J58"/>
    <mergeCell ref="L80:O80"/>
    <mergeCell ref="R80:AX80"/>
    <mergeCell ref="BB80:BH80"/>
    <mergeCell ref="BI80:CA80"/>
    <mergeCell ref="BN78:BO79"/>
    <mergeCell ref="BP78:BQ79"/>
    <mergeCell ref="BR78:BS79"/>
    <mergeCell ref="BT78:BU79"/>
    <mergeCell ref="BV78:BW79"/>
    <mergeCell ref="BX78:BY79"/>
    <mergeCell ref="BP70:BQ70"/>
    <mergeCell ref="BR70:BS70"/>
    <mergeCell ref="BT70:BU70"/>
    <mergeCell ref="E71:G72"/>
    <mergeCell ref="H71:I72"/>
    <mergeCell ref="AJ67:AU67"/>
    <mergeCell ref="BZ11:CA11"/>
    <mergeCell ref="B88:C89"/>
    <mergeCell ref="E89:AC89"/>
    <mergeCell ref="L76:O77"/>
    <mergeCell ref="E73:O73"/>
    <mergeCell ref="E74:H75"/>
    <mergeCell ref="I74:K75"/>
    <mergeCell ref="L74:O75"/>
    <mergeCell ref="E76:H77"/>
    <mergeCell ref="I76:K77"/>
    <mergeCell ref="A67:D85"/>
    <mergeCell ref="BO81:CA81"/>
    <mergeCell ref="BO82:CA89"/>
    <mergeCell ref="E86:AC87"/>
    <mergeCell ref="BZ78:CA79"/>
    <mergeCell ref="E80:H80"/>
    <mergeCell ref="I80:K80"/>
    <mergeCell ref="BL14:BM15"/>
    <mergeCell ref="BN14:BO15"/>
    <mergeCell ref="BP11:BQ11"/>
    <mergeCell ref="BR11:BS11"/>
    <mergeCell ref="BT11:BU11"/>
    <mergeCell ref="BV11:BW11"/>
    <mergeCell ref="BV12:BW13"/>
    <mergeCell ref="BP9:BQ10"/>
    <mergeCell ref="BR9:BS10"/>
    <mergeCell ref="BT9:BU10"/>
    <mergeCell ref="BV9:BW10"/>
    <mergeCell ref="BX11:BY11"/>
    <mergeCell ref="BX12:BY13"/>
    <mergeCell ref="L78:O79"/>
    <mergeCell ref="BB78:BH79"/>
    <mergeCell ref="BI78:BK79"/>
    <mergeCell ref="BL78:BM79"/>
    <mergeCell ref="J71:L72"/>
    <mergeCell ref="M71:O72"/>
    <mergeCell ref="BB71:BH72"/>
    <mergeCell ref="BL71:BM72"/>
    <mergeCell ref="BI74:BK75"/>
    <mergeCell ref="BL74:BM75"/>
    <mergeCell ref="BI73:BK73"/>
    <mergeCell ref="BL73:BM73"/>
    <mergeCell ref="BI76:BK77"/>
    <mergeCell ref="BL76:BM77"/>
    <mergeCell ref="E67:J67"/>
    <mergeCell ref="K67:N67"/>
    <mergeCell ref="O67:W67"/>
    <mergeCell ref="X67:AI67"/>
    <mergeCell ref="BI70:BK70"/>
    <mergeCell ref="BL70:BM70"/>
    <mergeCell ref="BN70:BO70"/>
    <mergeCell ref="BI71:BK72"/>
    <mergeCell ref="BB68:BH68"/>
    <mergeCell ref="E66:J66"/>
    <mergeCell ref="K66:N66"/>
    <mergeCell ref="O66:W66"/>
    <mergeCell ref="X66:AI66"/>
    <mergeCell ref="AV66:BK66"/>
    <mergeCell ref="BL66:BO66"/>
    <mergeCell ref="BP66:CA66"/>
    <mergeCell ref="E64:I65"/>
    <mergeCell ref="K64:O64"/>
    <mergeCell ref="Y64:AY65"/>
    <mergeCell ref="BA64:BC65"/>
    <mergeCell ref="BU64:CA64"/>
    <mergeCell ref="AB56:AD58"/>
    <mergeCell ref="AE56:AM58"/>
    <mergeCell ref="AN56:AP58"/>
    <mergeCell ref="AQ56:AS58"/>
    <mergeCell ref="AT56:AV58"/>
    <mergeCell ref="AW56:AY58"/>
    <mergeCell ref="AZ56:BB58"/>
    <mergeCell ref="BF56:BH58"/>
    <mergeCell ref="A36:D56"/>
    <mergeCell ref="E36:J36"/>
    <mergeCell ref="K36:N36"/>
    <mergeCell ref="O36:W36"/>
    <mergeCell ref="X36:AI36"/>
    <mergeCell ref="AJ36:AU36"/>
    <mergeCell ref="AV36:BK36"/>
    <mergeCell ref="BL36:BO36"/>
    <mergeCell ref="BN39:BO39"/>
    <mergeCell ref="BI40:BK41"/>
    <mergeCell ref="BL40:BM41"/>
    <mergeCell ref="BN40:BO41"/>
    <mergeCell ref="BI43:BK44"/>
    <mergeCell ref="BL43:BM44"/>
    <mergeCell ref="BN43:BO44"/>
    <mergeCell ref="R49:AX49"/>
    <mergeCell ref="BB49:BH49"/>
    <mergeCell ref="BI49:CA49"/>
    <mergeCell ref="R50:AW51"/>
    <mergeCell ref="AX50:AZ51"/>
    <mergeCell ref="BB50:BN50"/>
    <mergeCell ref="BP36:CA36"/>
    <mergeCell ref="E37:O52"/>
    <mergeCell ref="P37:BA40"/>
    <mergeCell ref="BT45:BU46"/>
    <mergeCell ref="BV45:BW46"/>
    <mergeCell ref="BX45:BY46"/>
    <mergeCell ref="BN42:BO42"/>
    <mergeCell ref="BP42:BQ42"/>
    <mergeCell ref="BR42:BS42"/>
    <mergeCell ref="BT42:BU42"/>
    <mergeCell ref="BV42:BW42"/>
    <mergeCell ref="BX42:BY42"/>
    <mergeCell ref="BT43:BU44"/>
    <mergeCell ref="BV43:BW44"/>
    <mergeCell ref="BX43:BY44"/>
    <mergeCell ref="BN45:BO46"/>
    <mergeCell ref="BP43:BQ44"/>
    <mergeCell ref="BR43:BS44"/>
    <mergeCell ref="BP45:BQ46"/>
    <mergeCell ref="BR45:BS46"/>
    <mergeCell ref="BP40:BQ41"/>
    <mergeCell ref="BR40:BS41"/>
    <mergeCell ref="BT40:BU41"/>
    <mergeCell ref="BV40:BW41"/>
    <mergeCell ref="BX40:BY41"/>
    <mergeCell ref="BZ40:CA41"/>
    <mergeCell ref="BI42:BK42"/>
    <mergeCell ref="BL42:BM42"/>
    <mergeCell ref="BB40:BH41"/>
    <mergeCell ref="BZ42:CA42"/>
    <mergeCell ref="BI39:BK39"/>
    <mergeCell ref="BL39:BM39"/>
    <mergeCell ref="E33:I34"/>
    <mergeCell ref="K33:O33"/>
    <mergeCell ref="Y33:AY34"/>
    <mergeCell ref="BA33:BC34"/>
    <mergeCell ref="BU33:CA33"/>
    <mergeCell ref="E35:J35"/>
    <mergeCell ref="K35:N35"/>
    <mergeCell ref="O35:W35"/>
    <mergeCell ref="X35:AI35"/>
    <mergeCell ref="AV35:BK35"/>
    <mergeCell ref="BL35:BO35"/>
    <mergeCell ref="BP35:CA35"/>
    <mergeCell ref="BB37:BH37"/>
    <mergeCell ref="BI37:CA37"/>
    <mergeCell ref="BP39:BQ39"/>
    <mergeCell ref="BR39:BS39"/>
    <mergeCell ref="BT39:BU39"/>
    <mergeCell ref="BV39:BW39"/>
    <mergeCell ref="BX39:BY39"/>
    <mergeCell ref="BZ39:CA39"/>
    <mergeCell ref="AJ35:AM35"/>
    <mergeCell ref="AO35:AU35"/>
    <mergeCell ref="R18:AX18"/>
    <mergeCell ref="BB18:BH18"/>
    <mergeCell ref="BI18:CA18"/>
    <mergeCell ref="R19:AW20"/>
    <mergeCell ref="AX19:AZ20"/>
    <mergeCell ref="BB19:BN19"/>
    <mergeCell ref="BO19:CA19"/>
    <mergeCell ref="BB20:BN22"/>
    <mergeCell ref="BO20:CA27"/>
    <mergeCell ref="E23:T24"/>
    <mergeCell ref="BV8:BW8"/>
    <mergeCell ref="BR16:BS17"/>
    <mergeCell ref="BT16:BU17"/>
    <mergeCell ref="BV16:BW17"/>
    <mergeCell ref="BX16:BY17"/>
    <mergeCell ref="BZ16:CA17"/>
    <mergeCell ref="E17:H17"/>
    <mergeCell ref="I17:K17"/>
    <mergeCell ref="L17:O17"/>
    <mergeCell ref="BL16:BM17"/>
    <mergeCell ref="E16:H16"/>
    <mergeCell ref="I16:K16"/>
    <mergeCell ref="L16:O16"/>
    <mergeCell ref="BB16:BH17"/>
    <mergeCell ref="BN16:BO17"/>
    <mergeCell ref="BP16:BQ17"/>
    <mergeCell ref="BX9:BY10"/>
    <mergeCell ref="BZ9:CA10"/>
    <mergeCell ref="BL12:BM13"/>
    <mergeCell ref="BN12:BO13"/>
    <mergeCell ref="BP12:BQ13"/>
    <mergeCell ref="BR12:BS13"/>
    <mergeCell ref="BT12:BU13"/>
    <mergeCell ref="BI8:BK8"/>
    <mergeCell ref="A5:D23"/>
    <mergeCell ref="E5:J5"/>
    <mergeCell ref="K5:N5"/>
    <mergeCell ref="O5:W5"/>
    <mergeCell ref="X5:AI5"/>
    <mergeCell ref="AJ5:AU5"/>
    <mergeCell ref="AV5:BK5"/>
    <mergeCell ref="BL5:BO5"/>
    <mergeCell ref="BP5:CA5"/>
    <mergeCell ref="E6:O12"/>
    <mergeCell ref="P6:BA9"/>
    <mergeCell ref="BB6:BH6"/>
    <mergeCell ref="BI6:CA6"/>
    <mergeCell ref="BP8:BQ8"/>
    <mergeCell ref="BR8:BS8"/>
    <mergeCell ref="BT8:BU8"/>
    <mergeCell ref="BX8:BY8"/>
    <mergeCell ref="BZ8:CA8"/>
    <mergeCell ref="BB9:BH10"/>
    <mergeCell ref="R11:AX15"/>
    <mergeCell ref="BB11:BC15"/>
    <mergeCell ref="BD11:BH11"/>
    <mergeCell ref="BD12:BH13"/>
    <mergeCell ref="BL8:BM8"/>
    <mergeCell ref="E2:I3"/>
    <mergeCell ref="K2:O2"/>
    <mergeCell ref="Y2:AY3"/>
    <mergeCell ref="BA2:BC3"/>
    <mergeCell ref="BU2:CA2"/>
    <mergeCell ref="E4:J4"/>
    <mergeCell ref="K4:N4"/>
    <mergeCell ref="O4:W4"/>
    <mergeCell ref="X4:AI4"/>
    <mergeCell ref="AV4:BK4"/>
    <mergeCell ref="BL4:BO4"/>
    <mergeCell ref="BP4:CA4"/>
    <mergeCell ref="AJ4:AM4"/>
    <mergeCell ref="AO4:AU4"/>
    <mergeCell ref="BN8:BO8"/>
    <mergeCell ref="E13:O13"/>
    <mergeCell ref="E14:H14"/>
    <mergeCell ref="I14:K14"/>
    <mergeCell ref="L14:O14"/>
    <mergeCell ref="BD14:BH15"/>
    <mergeCell ref="E15:H15"/>
    <mergeCell ref="I15:K15"/>
    <mergeCell ref="L15:O15"/>
    <mergeCell ref="BI9:BK10"/>
    <mergeCell ref="BI11:BK11"/>
    <mergeCell ref="BI12:BK13"/>
    <mergeCell ref="BI14:BK15"/>
    <mergeCell ref="BL9:BM10"/>
    <mergeCell ref="BN9:BO10"/>
    <mergeCell ref="BL11:BM11"/>
    <mergeCell ref="BN11:BO11"/>
    <mergeCell ref="BB7:BH8"/>
    <mergeCell ref="BN76:BO77"/>
    <mergeCell ref="BP76:BQ77"/>
    <mergeCell ref="BR76:BS77"/>
    <mergeCell ref="BT76:BU77"/>
    <mergeCell ref="BV76:BW77"/>
    <mergeCell ref="BX76:BY77"/>
    <mergeCell ref="BZ76:CA77"/>
    <mergeCell ref="BN73:BO73"/>
    <mergeCell ref="BP73:BQ73"/>
    <mergeCell ref="BR73:BS73"/>
    <mergeCell ref="BT73:BU73"/>
    <mergeCell ref="BV73:BW73"/>
    <mergeCell ref="BX73:BY73"/>
    <mergeCell ref="BZ73:CA73"/>
    <mergeCell ref="BN74:BO75"/>
    <mergeCell ref="BP74:BQ75"/>
    <mergeCell ref="BR74:BS75"/>
    <mergeCell ref="BT74:BU75"/>
    <mergeCell ref="BV74:BW75"/>
    <mergeCell ref="BX74:BY75"/>
    <mergeCell ref="BZ74:CA75"/>
    <mergeCell ref="AU29:CA30"/>
    <mergeCell ref="AK30:AR31"/>
    <mergeCell ref="AK61:AR62"/>
    <mergeCell ref="BZ43:CA44"/>
    <mergeCell ref="BX47:BY48"/>
    <mergeCell ref="BZ47:CA48"/>
    <mergeCell ref="BO50:CA50"/>
    <mergeCell ref="BN71:BO72"/>
    <mergeCell ref="BP71:BQ72"/>
    <mergeCell ref="BR71:BS72"/>
    <mergeCell ref="BT71:BU72"/>
    <mergeCell ref="BV71:BW72"/>
    <mergeCell ref="BX71:BY72"/>
    <mergeCell ref="BZ71:CA72"/>
    <mergeCell ref="BP67:CA67"/>
    <mergeCell ref="BV70:BW70"/>
    <mergeCell ref="BX70:BY70"/>
    <mergeCell ref="BZ70:CA70"/>
    <mergeCell ref="BI68:CA68"/>
    <mergeCell ref="BZ45:CA46"/>
    <mergeCell ref="BP47:BQ48"/>
    <mergeCell ref="BR47:BS48"/>
    <mergeCell ref="BT47:BU48"/>
    <mergeCell ref="BV47:BW48"/>
  </mergeCells>
  <phoneticPr fontId="1"/>
  <pageMargins left="0.19685039370078741" right="0.19685039370078741" top="0.11811023622047245" bottom="0.19685039370078741" header="0.31496062992125984" footer="0.31496062992125984"/>
  <pageSetup paperSize="9" scale="91" orientation="portrait" blackAndWhite="1" r:id="rId1"/>
  <colBreaks count="1" manualBreakCount="1">
    <brk id="80" max="93"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2048-EEC6-4A1A-B6C2-327A3131FED7}">
  <sheetPr>
    <tabColor rgb="FFFFCCFF"/>
    <pageSetUpPr fitToPage="1"/>
  </sheetPr>
  <dimension ref="A1:AA63"/>
  <sheetViews>
    <sheetView showGridLines="0" zoomScale="85" zoomScaleNormal="85" workbookViewId="0">
      <selection activeCell="BP5" sqref="BP5:CA5"/>
    </sheetView>
  </sheetViews>
  <sheetFormatPr defaultColWidth="9" defaultRowHeight="12" x14ac:dyDescent="0.55000000000000004"/>
  <cols>
    <col min="1" max="27" width="4.33203125" style="49" customWidth="1"/>
    <col min="28" max="16384" width="9" style="49"/>
  </cols>
  <sheetData>
    <row r="1" spans="1:27" ht="23.5" x14ac:dyDescent="0.2">
      <c r="A1" s="48" t="s">
        <v>107</v>
      </c>
      <c r="AA1" s="50" t="s">
        <v>108</v>
      </c>
    </row>
    <row r="2" spans="1:27" ht="16.5" customHeight="1" x14ac:dyDescent="0.55000000000000004">
      <c r="A2" s="588" t="s">
        <v>109</v>
      </c>
      <c r="B2" s="589"/>
      <c r="C2" s="589"/>
      <c r="D2" s="589"/>
      <c r="E2" s="589"/>
      <c r="F2" s="589"/>
      <c r="G2" s="589"/>
      <c r="H2" s="590" t="s">
        <v>110</v>
      </c>
      <c r="I2" s="591"/>
      <c r="J2" s="588" t="s">
        <v>109</v>
      </c>
      <c r="K2" s="589"/>
      <c r="L2" s="589"/>
      <c r="M2" s="589"/>
      <c r="N2" s="589"/>
      <c r="O2" s="589"/>
      <c r="P2" s="589"/>
      <c r="Q2" s="590" t="s">
        <v>110</v>
      </c>
      <c r="R2" s="591"/>
      <c r="S2" s="588" t="s">
        <v>109</v>
      </c>
      <c r="T2" s="589"/>
      <c r="U2" s="589"/>
      <c r="V2" s="589"/>
      <c r="W2" s="589"/>
      <c r="X2" s="589"/>
      <c r="Y2" s="589"/>
      <c r="Z2" s="590" t="s">
        <v>110</v>
      </c>
      <c r="AA2" s="591"/>
    </row>
    <row r="3" spans="1:27" ht="16.5" customHeight="1" x14ac:dyDescent="0.55000000000000004">
      <c r="A3" s="592"/>
      <c r="B3" s="593"/>
      <c r="C3" s="593"/>
      <c r="D3" s="593"/>
      <c r="E3" s="594" t="s">
        <v>111</v>
      </c>
      <c r="F3" s="595"/>
      <c r="G3" s="596"/>
      <c r="H3" s="597" t="s">
        <v>112</v>
      </c>
      <c r="I3" s="598"/>
      <c r="J3" s="592"/>
      <c r="K3" s="593"/>
      <c r="L3" s="593"/>
      <c r="M3" s="593"/>
      <c r="N3" s="594" t="s">
        <v>111</v>
      </c>
      <c r="O3" s="595"/>
      <c r="P3" s="596"/>
      <c r="Q3" s="597" t="s">
        <v>112</v>
      </c>
      <c r="R3" s="598"/>
      <c r="S3" s="592"/>
      <c r="T3" s="593"/>
      <c r="U3" s="593"/>
      <c r="V3" s="593"/>
      <c r="W3" s="594" t="s">
        <v>111</v>
      </c>
      <c r="X3" s="595"/>
      <c r="Y3" s="596"/>
      <c r="Z3" s="597" t="s">
        <v>112</v>
      </c>
      <c r="AA3" s="598"/>
    </row>
    <row r="4" spans="1:27" ht="16.5" customHeight="1" x14ac:dyDescent="0.55000000000000004">
      <c r="A4" s="51" t="s">
        <v>113</v>
      </c>
      <c r="B4" s="609" t="s">
        <v>114</v>
      </c>
      <c r="C4" s="610"/>
      <c r="D4" s="610"/>
      <c r="E4" s="599" t="s">
        <v>115</v>
      </c>
      <c r="F4" s="600"/>
      <c r="G4" s="600"/>
      <c r="H4" s="601" t="s">
        <v>116</v>
      </c>
      <c r="I4" s="602"/>
      <c r="J4" s="51" t="s">
        <v>117</v>
      </c>
      <c r="K4" s="609" t="s">
        <v>118</v>
      </c>
      <c r="L4" s="610"/>
      <c r="M4" s="610"/>
      <c r="N4" s="599" t="s">
        <v>119</v>
      </c>
      <c r="O4" s="600"/>
      <c r="P4" s="600"/>
      <c r="Q4" s="601" t="s">
        <v>120</v>
      </c>
      <c r="R4" s="602"/>
      <c r="S4" s="51"/>
      <c r="T4" s="609" t="s">
        <v>121</v>
      </c>
      <c r="U4" s="610"/>
      <c r="V4" s="610"/>
      <c r="W4" s="599" t="s">
        <v>122</v>
      </c>
      <c r="X4" s="600"/>
      <c r="Y4" s="600"/>
      <c r="Z4" s="601" t="s">
        <v>123</v>
      </c>
      <c r="AA4" s="602"/>
    </row>
    <row r="5" spans="1:27" ht="16.5" customHeight="1" x14ac:dyDescent="0.55000000000000004">
      <c r="A5" s="52"/>
      <c r="B5" s="603" t="s">
        <v>124</v>
      </c>
      <c r="C5" s="604"/>
      <c r="D5" s="604"/>
      <c r="E5" s="605" t="s">
        <v>125</v>
      </c>
      <c r="F5" s="606"/>
      <c r="G5" s="606"/>
      <c r="H5" s="607" t="s">
        <v>126</v>
      </c>
      <c r="I5" s="608"/>
      <c r="J5" s="53" t="s">
        <v>127</v>
      </c>
      <c r="K5" s="603" t="s">
        <v>128</v>
      </c>
      <c r="L5" s="604"/>
      <c r="M5" s="604"/>
      <c r="N5" s="605" t="s">
        <v>129</v>
      </c>
      <c r="O5" s="606"/>
      <c r="P5" s="606"/>
      <c r="Q5" s="607" t="s">
        <v>130</v>
      </c>
      <c r="R5" s="608"/>
      <c r="S5" s="53" t="s">
        <v>131</v>
      </c>
      <c r="T5" s="603" t="s">
        <v>132</v>
      </c>
      <c r="U5" s="604"/>
      <c r="V5" s="604"/>
      <c r="W5" s="605" t="s">
        <v>133</v>
      </c>
      <c r="X5" s="606"/>
      <c r="Y5" s="606"/>
      <c r="Z5" s="607" t="s">
        <v>134</v>
      </c>
      <c r="AA5" s="608"/>
    </row>
    <row r="6" spans="1:27" ht="16.5" customHeight="1" x14ac:dyDescent="0.55000000000000004">
      <c r="A6" s="52"/>
      <c r="B6" s="603" t="s">
        <v>135</v>
      </c>
      <c r="C6" s="604"/>
      <c r="D6" s="604"/>
      <c r="E6" s="605" t="s">
        <v>136</v>
      </c>
      <c r="F6" s="606"/>
      <c r="G6" s="606"/>
      <c r="H6" s="607" t="s">
        <v>123</v>
      </c>
      <c r="I6" s="608"/>
      <c r="J6" s="52"/>
      <c r="K6" s="603" t="s">
        <v>137</v>
      </c>
      <c r="L6" s="604"/>
      <c r="M6" s="604"/>
      <c r="N6" s="605" t="s">
        <v>138</v>
      </c>
      <c r="O6" s="606"/>
      <c r="P6" s="606"/>
      <c r="Q6" s="607" t="s">
        <v>134</v>
      </c>
      <c r="R6" s="608"/>
      <c r="S6" s="52"/>
      <c r="T6" s="603" t="s">
        <v>139</v>
      </c>
      <c r="U6" s="604"/>
      <c r="V6" s="604"/>
      <c r="W6" s="605" t="s">
        <v>140</v>
      </c>
      <c r="X6" s="606"/>
      <c r="Y6" s="606"/>
      <c r="Z6" s="607" t="s">
        <v>126</v>
      </c>
      <c r="AA6" s="608"/>
    </row>
    <row r="7" spans="1:27" ht="16.5" customHeight="1" x14ac:dyDescent="0.55000000000000004">
      <c r="A7" s="52"/>
      <c r="B7" s="603" t="s">
        <v>141</v>
      </c>
      <c r="C7" s="604"/>
      <c r="D7" s="604"/>
      <c r="E7" s="605" t="s">
        <v>142</v>
      </c>
      <c r="F7" s="606"/>
      <c r="G7" s="606"/>
      <c r="H7" s="607" t="s">
        <v>116</v>
      </c>
      <c r="I7" s="608"/>
      <c r="J7" s="52"/>
      <c r="K7" s="603" t="s">
        <v>143</v>
      </c>
      <c r="L7" s="604"/>
      <c r="M7" s="604"/>
      <c r="N7" s="605" t="s">
        <v>144</v>
      </c>
      <c r="O7" s="606"/>
      <c r="P7" s="606"/>
      <c r="Q7" s="607" t="s">
        <v>145</v>
      </c>
      <c r="R7" s="608"/>
      <c r="S7" s="52"/>
      <c r="T7" s="603" t="s">
        <v>146</v>
      </c>
      <c r="U7" s="604"/>
      <c r="V7" s="604"/>
      <c r="W7" s="605" t="s">
        <v>147</v>
      </c>
      <c r="X7" s="606"/>
      <c r="Y7" s="606"/>
      <c r="Z7" s="607" t="s">
        <v>148</v>
      </c>
      <c r="AA7" s="608"/>
    </row>
    <row r="8" spans="1:27" ht="16.5" customHeight="1" x14ac:dyDescent="0.55000000000000004">
      <c r="A8" s="52"/>
      <c r="B8" s="603" t="s">
        <v>149</v>
      </c>
      <c r="C8" s="604"/>
      <c r="D8" s="604"/>
      <c r="E8" s="605" t="s">
        <v>150</v>
      </c>
      <c r="F8" s="606"/>
      <c r="G8" s="606"/>
      <c r="H8" s="607" t="s">
        <v>123</v>
      </c>
      <c r="I8" s="608"/>
      <c r="J8" s="52"/>
      <c r="K8" s="603" t="s">
        <v>151</v>
      </c>
      <c r="L8" s="604"/>
      <c r="M8" s="604"/>
      <c r="N8" s="605" t="s">
        <v>152</v>
      </c>
      <c r="O8" s="606"/>
      <c r="P8" s="606"/>
      <c r="Q8" s="607" t="s">
        <v>153</v>
      </c>
      <c r="R8" s="608"/>
      <c r="S8" s="52"/>
      <c r="T8" s="603" t="s">
        <v>154</v>
      </c>
      <c r="U8" s="604"/>
      <c r="V8" s="604"/>
      <c r="W8" s="605" t="s">
        <v>155</v>
      </c>
      <c r="X8" s="606"/>
      <c r="Y8" s="606"/>
      <c r="Z8" s="607" t="s">
        <v>156</v>
      </c>
      <c r="AA8" s="608"/>
    </row>
    <row r="9" spans="1:27" ht="16.5" customHeight="1" x14ac:dyDescent="0.55000000000000004">
      <c r="A9" s="52"/>
      <c r="B9" s="603" t="s">
        <v>157</v>
      </c>
      <c r="C9" s="604"/>
      <c r="D9" s="604"/>
      <c r="E9" s="605" t="s">
        <v>158</v>
      </c>
      <c r="F9" s="606"/>
      <c r="G9" s="606"/>
      <c r="H9" s="607" t="s">
        <v>145</v>
      </c>
      <c r="I9" s="608"/>
      <c r="J9" s="52"/>
      <c r="K9" s="603" t="s">
        <v>159</v>
      </c>
      <c r="L9" s="604"/>
      <c r="M9" s="604"/>
      <c r="N9" s="605" t="s">
        <v>160</v>
      </c>
      <c r="O9" s="606"/>
      <c r="P9" s="606"/>
      <c r="Q9" s="607" t="s">
        <v>161</v>
      </c>
      <c r="R9" s="608"/>
      <c r="S9" s="53" t="s">
        <v>162</v>
      </c>
      <c r="T9" s="603" t="s">
        <v>163</v>
      </c>
      <c r="U9" s="604"/>
      <c r="V9" s="604"/>
      <c r="W9" s="605" t="s">
        <v>164</v>
      </c>
      <c r="X9" s="606"/>
      <c r="Y9" s="606"/>
      <c r="Z9" s="607" t="s">
        <v>165</v>
      </c>
      <c r="AA9" s="608"/>
    </row>
    <row r="10" spans="1:27" ht="16.5" customHeight="1" x14ac:dyDescent="0.55000000000000004">
      <c r="A10" s="52"/>
      <c r="B10" s="603" t="s">
        <v>166</v>
      </c>
      <c r="C10" s="604"/>
      <c r="D10" s="604"/>
      <c r="E10" s="605" t="s">
        <v>167</v>
      </c>
      <c r="F10" s="606"/>
      <c r="G10" s="606"/>
      <c r="H10" s="607" t="s">
        <v>168</v>
      </c>
      <c r="I10" s="608"/>
      <c r="J10" s="53" t="s">
        <v>169</v>
      </c>
      <c r="K10" s="603" t="s">
        <v>170</v>
      </c>
      <c r="L10" s="604"/>
      <c r="M10" s="604"/>
      <c r="N10" s="605" t="s">
        <v>171</v>
      </c>
      <c r="O10" s="606"/>
      <c r="P10" s="606"/>
      <c r="Q10" s="607" t="s">
        <v>145</v>
      </c>
      <c r="R10" s="608"/>
      <c r="S10" s="53" t="s">
        <v>172</v>
      </c>
      <c r="T10" s="603" t="s">
        <v>173</v>
      </c>
      <c r="U10" s="604"/>
      <c r="V10" s="604"/>
      <c r="W10" s="605" t="s">
        <v>174</v>
      </c>
      <c r="X10" s="606"/>
      <c r="Y10" s="606"/>
      <c r="Z10" s="607" t="s">
        <v>175</v>
      </c>
      <c r="AA10" s="608"/>
    </row>
    <row r="11" spans="1:27" ht="16.5" customHeight="1" x14ac:dyDescent="0.55000000000000004">
      <c r="A11" s="52"/>
      <c r="B11" s="603" t="s">
        <v>176</v>
      </c>
      <c r="C11" s="604"/>
      <c r="D11" s="604"/>
      <c r="E11" s="605" t="s">
        <v>177</v>
      </c>
      <c r="F11" s="606"/>
      <c r="G11" s="606"/>
      <c r="H11" s="607" t="s">
        <v>178</v>
      </c>
      <c r="I11" s="608"/>
      <c r="J11" s="52"/>
      <c r="K11" s="603" t="s">
        <v>179</v>
      </c>
      <c r="L11" s="604"/>
      <c r="M11" s="604"/>
      <c r="N11" s="605" t="s">
        <v>180</v>
      </c>
      <c r="O11" s="606"/>
      <c r="P11" s="606"/>
      <c r="Q11" s="607" t="s">
        <v>181</v>
      </c>
      <c r="R11" s="608"/>
      <c r="S11" s="53" t="s">
        <v>182</v>
      </c>
      <c r="T11" s="603" t="s">
        <v>183</v>
      </c>
      <c r="U11" s="604"/>
      <c r="V11" s="604"/>
      <c r="W11" s="605" t="s">
        <v>184</v>
      </c>
      <c r="X11" s="606"/>
      <c r="Y11" s="606"/>
      <c r="Z11" s="607" t="s">
        <v>185</v>
      </c>
      <c r="AA11" s="608"/>
    </row>
    <row r="12" spans="1:27" ht="16.5" customHeight="1" x14ac:dyDescent="0.55000000000000004">
      <c r="A12" s="52"/>
      <c r="B12" s="603" t="s">
        <v>186</v>
      </c>
      <c r="C12" s="604"/>
      <c r="D12" s="604"/>
      <c r="E12" s="605" t="s">
        <v>187</v>
      </c>
      <c r="F12" s="606"/>
      <c r="G12" s="606"/>
      <c r="H12" s="607" t="s">
        <v>188</v>
      </c>
      <c r="I12" s="608"/>
      <c r="J12" s="52"/>
      <c r="K12" s="603" t="s">
        <v>189</v>
      </c>
      <c r="L12" s="604"/>
      <c r="M12" s="604"/>
      <c r="N12" s="605" t="s">
        <v>190</v>
      </c>
      <c r="O12" s="606"/>
      <c r="P12" s="606"/>
      <c r="Q12" s="607" t="s">
        <v>168</v>
      </c>
      <c r="R12" s="608"/>
      <c r="S12" s="53" t="s">
        <v>191</v>
      </c>
      <c r="T12" s="603" t="s">
        <v>192</v>
      </c>
      <c r="U12" s="604"/>
      <c r="V12" s="604"/>
      <c r="W12" s="605" t="s">
        <v>193</v>
      </c>
      <c r="X12" s="606"/>
      <c r="Y12" s="606"/>
      <c r="Z12" s="607" t="s">
        <v>181</v>
      </c>
      <c r="AA12" s="608"/>
    </row>
    <row r="13" spans="1:27" ht="16.5" customHeight="1" x14ac:dyDescent="0.55000000000000004">
      <c r="A13" s="52"/>
      <c r="B13" s="603" t="s">
        <v>194</v>
      </c>
      <c r="C13" s="604"/>
      <c r="D13" s="604"/>
      <c r="E13" s="605" t="s">
        <v>195</v>
      </c>
      <c r="F13" s="606"/>
      <c r="G13" s="606"/>
      <c r="H13" s="607" t="s">
        <v>120</v>
      </c>
      <c r="I13" s="608"/>
      <c r="J13" s="52"/>
      <c r="K13" s="603" t="s">
        <v>196</v>
      </c>
      <c r="L13" s="604"/>
      <c r="M13" s="604"/>
      <c r="N13" s="605" t="s">
        <v>197</v>
      </c>
      <c r="O13" s="606"/>
      <c r="P13" s="606"/>
      <c r="Q13" s="607" t="s">
        <v>198</v>
      </c>
      <c r="R13" s="608"/>
      <c r="S13" s="52"/>
      <c r="T13" s="603" t="s">
        <v>199</v>
      </c>
      <c r="U13" s="604"/>
      <c r="V13" s="604"/>
      <c r="W13" s="605" t="s">
        <v>200</v>
      </c>
      <c r="X13" s="606"/>
      <c r="Y13" s="606"/>
      <c r="Z13" s="607" t="s">
        <v>201</v>
      </c>
      <c r="AA13" s="608"/>
    </row>
    <row r="14" spans="1:27" ht="16.5" customHeight="1" x14ac:dyDescent="0.55000000000000004">
      <c r="A14" s="52"/>
      <c r="B14" s="603" t="s">
        <v>202</v>
      </c>
      <c r="C14" s="604"/>
      <c r="D14" s="604"/>
      <c r="E14" s="605" t="s">
        <v>203</v>
      </c>
      <c r="F14" s="606"/>
      <c r="G14" s="606"/>
      <c r="H14" s="607" t="s">
        <v>188</v>
      </c>
      <c r="I14" s="608"/>
      <c r="J14" s="52"/>
      <c r="K14" s="603" t="s">
        <v>204</v>
      </c>
      <c r="L14" s="604"/>
      <c r="M14" s="604"/>
      <c r="N14" s="605" t="s">
        <v>205</v>
      </c>
      <c r="O14" s="606"/>
      <c r="P14" s="606"/>
      <c r="Q14" s="607" t="s">
        <v>175</v>
      </c>
      <c r="R14" s="608"/>
      <c r="S14" s="52"/>
      <c r="T14" s="603" t="s">
        <v>206</v>
      </c>
      <c r="U14" s="604"/>
      <c r="V14" s="604"/>
      <c r="W14" s="605" t="s">
        <v>207</v>
      </c>
      <c r="X14" s="606"/>
      <c r="Y14" s="606"/>
      <c r="Z14" s="607" t="s">
        <v>153</v>
      </c>
      <c r="AA14" s="608"/>
    </row>
    <row r="15" spans="1:27" ht="16.5" customHeight="1" x14ac:dyDescent="0.55000000000000004">
      <c r="A15" s="53" t="s">
        <v>208</v>
      </c>
      <c r="B15" s="603" t="s">
        <v>209</v>
      </c>
      <c r="C15" s="604"/>
      <c r="D15" s="604"/>
      <c r="E15" s="605" t="s">
        <v>210</v>
      </c>
      <c r="F15" s="606"/>
      <c r="G15" s="606"/>
      <c r="H15" s="607" t="s">
        <v>145</v>
      </c>
      <c r="I15" s="608"/>
      <c r="J15" s="52"/>
      <c r="K15" s="603" t="s">
        <v>211</v>
      </c>
      <c r="L15" s="604"/>
      <c r="M15" s="604"/>
      <c r="N15" s="605" t="s">
        <v>212</v>
      </c>
      <c r="O15" s="606"/>
      <c r="P15" s="606"/>
      <c r="Q15" s="607" t="s">
        <v>145</v>
      </c>
      <c r="R15" s="608"/>
      <c r="S15" s="52"/>
      <c r="T15" s="603" t="s">
        <v>213</v>
      </c>
      <c r="U15" s="604"/>
      <c r="V15" s="604"/>
      <c r="W15" s="605" t="s">
        <v>214</v>
      </c>
      <c r="X15" s="606"/>
      <c r="Y15" s="606"/>
      <c r="Z15" s="607" t="s">
        <v>168</v>
      </c>
      <c r="AA15" s="608"/>
    </row>
    <row r="16" spans="1:27" ht="16.5" customHeight="1" x14ac:dyDescent="0.55000000000000004">
      <c r="A16" s="52"/>
      <c r="B16" s="603" t="s">
        <v>215</v>
      </c>
      <c r="C16" s="604"/>
      <c r="D16" s="604"/>
      <c r="E16" s="605" t="s">
        <v>216</v>
      </c>
      <c r="F16" s="606"/>
      <c r="G16" s="606"/>
      <c r="H16" s="607" t="s">
        <v>217</v>
      </c>
      <c r="I16" s="608"/>
      <c r="J16" s="52"/>
      <c r="K16" s="603" t="s">
        <v>218</v>
      </c>
      <c r="L16" s="604"/>
      <c r="M16" s="604"/>
      <c r="N16" s="605" t="s">
        <v>219</v>
      </c>
      <c r="O16" s="606"/>
      <c r="P16" s="606"/>
      <c r="Q16" s="607" t="s">
        <v>156</v>
      </c>
      <c r="R16" s="608"/>
      <c r="S16" s="53" t="s">
        <v>220</v>
      </c>
      <c r="T16" s="603" t="s">
        <v>221</v>
      </c>
      <c r="U16" s="604"/>
      <c r="V16" s="604"/>
      <c r="W16" s="605" t="s">
        <v>222</v>
      </c>
      <c r="X16" s="606"/>
      <c r="Y16" s="606"/>
      <c r="Z16" s="607" t="s">
        <v>116</v>
      </c>
      <c r="AA16" s="608"/>
    </row>
    <row r="17" spans="1:27" ht="16.5" customHeight="1" x14ac:dyDescent="0.55000000000000004">
      <c r="A17" s="52"/>
      <c r="B17" s="603" t="s">
        <v>223</v>
      </c>
      <c r="C17" s="604"/>
      <c r="D17" s="604"/>
      <c r="E17" s="605" t="s">
        <v>224</v>
      </c>
      <c r="F17" s="606"/>
      <c r="G17" s="606"/>
      <c r="H17" s="607" t="s">
        <v>178</v>
      </c>
      <c r="I17" s="608"/>
      <c r="J17" s="52"/>
      <c r="K17" s="603" t="s">
        <v>225</v>
      </c>
      <c r="L17" s="604"/>
      <c r="M17" s="604"/>
      <c r="N17" s="605" t="s">
        <v>226</v>
      </c>
      <c r="O17" s="606"/>
      <c r="P17" s="606"/>
      <c r="Q17" s="607" t="s">
        <v>145</v>
      </c>
      <c r="R17" s="608"/>
      <c r="S17" s="52"/>
      <c r="T17" s="603" t="s">
        <v>227</v>
      </c>
      <c r="U17" s="604"/>
      <c r="V17" s="604"/>
      <c r="W17" s="605" t="s">
        <v>228</v>
      </c>
      <c r="X17" s="606"/>
      <c r="Y17" s="606"/>
      <c r="Z17" s="607" t="s">
        <v>116</v>
      </c>
      <c r="AA17" s="608"/>
    </row>
    <row r="18" spans="1:27" ht="16.5" customHeight="1" x14ac:dyDescent="0.55000000000000004">
      <c r="A18" s="52"/>
      <c r="B18" s="603" t="s">
        <v>229</v>
      </c>
      <c r="C18" s="604"/>
      <c r="D18" s="604"/>
      <c r="E18" s="605" t="s">
        <v>230</v>
      </c>
      <c r="F18" s="606"/>
      <c r="G18" s="606"/>
      <c r="H18" s="607" t="s">
        <v>156</v>
      </c>
      <c r="I18" s="608"/>
      <c r="J18" s="52"/>
      <c r="K18" s="603" t="s">
        <v>231</v>
      </c>
      <c r="L18" s="604"/>
      <c r="M18" s="604"/>
      <c r="N18" s="605" t="s">
        <v>232</v>
      </c>
      <c r="O18" s="606"/>
      <c r="P18" s="606"/>
      <c r="Q18" s="607" t="s">
        <v>116</v>
      </c>
      <c r="R18" s="608"/>
      <c r="S18" s="52"/>
      <c r="T18" s="603" t="s">
        <v>233</v>
      </c>
      <c r="U18" s="604"/>
      <c r="V18" s="604"/>
      <c r="W18" s="605" t="s">
        <v>234</v>
      </c>
      <c r="X18" s="606"/>
      <c r="Y18" s="606"/>
      <c r="Z18" s="607" t="s">
        <v>116</v>
      </c>
      <c r="AA18" s="608"/>
    </row>
    <row r="19" spans="1:27" ht="16.5" customHeight="1" x14ac:dyDescent="0.55000000000000004">
      <c r="A19" s="52"/>
      <c r="B19" s="603" t="s">
        <v>235</v>
      </c>
      <c r="C19" s="604"/>
      <c r="D19" s="604"/>
      <c r="E19" s="605" t="s">
        <v>236</v>
      </c>
      <c r="F19" s="606"/>
      <c r="G19" s="606"/>
      <c r="H19" s="607" t="s">
        <v>123</v>
      </c>
      <c r="I19" s="608"/>
      <c r="J19" s="52"/>
      <c r="K19" s="603" t="s">
        <v>237</v>
      </c>
      <c r="L19" s="604"/>
      <c r="M19" s="604"/>
      <c r="N19" s="605" t="s">
        <v>238</v>
      </c>
      <c r="O19" s="606"/>
      <c r="P19" s="606"/>
      <c r="Q19" s="607" t="s">
        <v>198</v>
      </c>
      <c r="R19" s="608"/>
      <c r="S19" s="52"/>
      <c r="T19" s="603" t="s">
        <v>239</v>
      </c>
      <c r="U19" s="604"/>
      <c r="V19" s="604"/>
      <c r="W19" s="605" t="s">
        <v>240</v>
      </c>
      <c r="X19" s="606"/>
      <c r="Y19" s="606"/>
      <c r="Z19" s="607" t="s">
        <v>134</v>
      </c>
      <c r="AA19" s="608"/>
    </row>
    <row r="20" spans="1:27" ht="16.5" customHeight="1" x14ac:dyDescent="0.55000000000000004">
      <c r="A20" s="53" t="s">
        <v>241</v>
      </c>
      <c r="B20" s="603" t="s">
        <v>242</v>
      </c>
      <c r="C20" s="604"/>
      <c r="D20" s="604"/>
      <c r="E20" s="605" t="s">
        <v>243</v>
      </c>
      <c r="F20" s="606"/>
      <c r="G20" s="606"/>
      <c r="H20" s="607" t="s">
        <v>123</v>
      </c>
      <c r="I20" s="608"/>
      <c r="J20" s="52"/>
      <c r="K20" s="603" t="s">
        <v>244</v>
      </c>
      <c r="L20" s="604"/>
      <c r="M20" s="604"/>
      <c r="N20" s="605" t="s">
        <v>245</v>
      </c>
      <c r="O20" s="606"/>
      <c r="P20" s="606"/>
      <c r="Q20" s="607" t="s">
        <v>126</v>
      </c>
      <c r="R20" s="608"/>
      <c r="S20" s="52"/>
      <c r="T20" s="603" t="s">
        <v>246</v>
      </c>
      <c r="U20" s="604"/>
      <c r="V20" s="604"/>
      <c r="W20" s="605" t="s">
        <v>247</v>
      </c>
      <c r="X20" s="606"/>
      <c r="Y20" s="606"/>
      <c r="Z20" s="607" t="s">
        <v>116</v>
      </c>
      <c r="AA20" s="608"/>
    </row>
    <row r="21" spans="1:27" ht="16.5" customHeight="1" x14ac:dyDescent="0.55000000000000004">
      <c r="A21" s="52"/>
      <c r="B21" s="603" t="s">
        <v>248</v>
      </c>
      <c r="C21" s="604"/>
      <c r="D21" s="604"/>
      <c r="E21" s="605" t="s">
        <v>249</v>
      </c>
      <c r="F21" s="606"/>
      <c r="G21" s="606"/>
      <c r="H21" s="607" t="s">
        <v>123</v>
      </c>
      <c r="I21" s="608"/>
      <c r="J21" s="52"/>
      <c r="K21" s="603" t="s">
        <v>250</v>
      </c>
      <c r="L21" s="604"/>
      <c r="M21" s="604"/>
      <c r="N21" s="605" t="s">
        <v>251</v>
      </c>
      <c r="O21" s="606"/>
      <c r="P21" s="606"/>
      <c r="Q21" s="607" t="s">
        <v>120</v>
      </c>
      <c r="R21" s="608"/>
      <c r="S21" s="52"/>
      <c r="T21" s="603" t="s">
        <v>252</v>
      </c>
      <c r="U21" s="604"/>
      <c r="V21" s="604"/>
      <c r="W21" s="605" t="s">
        <v>253</v>
      </c>
      <c r="X21" s="606"/>
      <c r="Y21" s="606"/>
      <c r="Z21" s="607" t="s">
        <v>123</v>
      </c>
      <c r="AA21" s="608"/>
    </row>
    <row r="22" spans="1:27" ht="16.5" customHeight="1" x14ac:dyDescent="0.55000000000000004">
      <c r="A22" s="52"/>
      <c r="B22" s="603" t="s">
        <v>254</v>
      </c>
      <c r="C22" s="604"/>
      <c r="D22" s="604"/>
      <c r="E22" s="605" t="s">
        <v>255</v>
      </c>
      <c r="F22" s="606"/>
      <c r="G22" s="606"/>
      <c r="H22" s="607" t="s">
        <v>134</v>
      </c>
      <c r="I22" s="608"/>
      <c r="J22" s="52"/>
      <c r="K22" s="603" t="s">
        <v>256</v>
      </c>
      <c r="L22" s="604"/>
      <c r="M22" s="604"/>
      <c r="N22" s="605" t="s">
        <v>257</v>
      </c>
      <c r="O22" s="606"/>
      <c r="P22" s="606"/>
      <c r="Q22" s="607" t="s">
        <v>201</v>
      </c>
      <c r="R22" s="608"/>
      <c r="S22" s="52"/>
      <c r="T22" s="603" t="s">
        <v>258</v>
      </c>
      <c r="U22" s="604"/>
      <c r="V22" s="604"/>
      <c r="W22" s="605" t="s">
        <v>259</v>
      </c>
      <c r="X22" s="606"/>
      <c r="Y22" s="606"/>
      <c r="Z22" s="607" t="s">
        <v>198</v>
      </c>
      <c r="AA22" s="608"/>
    </row>
    <row r="23" spans="1:27" ht="16.5" customHeight="1" x14ac:dyDescent="0.55000000000000004">
      <c r="A23" s="52"/>
      <c r="B23" s="603" t="s">
        <v>260</v>
      </c>
      <c r="C23" s="604"/>
      <c r="D23" s="604"/>
      <c r="E23" s="605" t="s">
        <v>261</v>
      </c>
      <c r="F23" s="606"/>
      <c r="G23" s="606"/>
      <c r="H23" s="607" t="s">
        <v>145</v>
      </c>
      <c r="I23" s="608"/>
      <c r="J23" s="52"/>
      <c r="K23" s="603" t="s">
        <v>262</v>
      </c>
      <c r="L23" s="604"/>
      <c r="M23" s="604"/>
      <c r="N23" s="605" t="s">
        <v>263</v>
      </c>
      <c r="O23" s="606"/>
      <c r="P23" s="606"/>
      <c r="Q23" s="607" t="s">
        <v>188</v>
      </c>
      <c r="R23" s="608"/>
      <c r="S23" s="52"/>
      <c r="T23" s="603" t="s">
        <v>264</v>
      </c>
      <c r="U23" s="604"/>
      <c r="V23" s="604"/>
      <c r="W23" s="605" t="s">
        <v>265</v>
      </c>
      <c r="X23" s="606"/>
      <c r="Y23" s="606"/>
      <c r="Z23" s="607" t="s">
        <v>120</v>
      </c>
      <c r="AA23" s="608"/>
    </row>
    <row r="24" spans="1:27" ht="16.5" customHeight="1" x14ac:dyDescent="0.55000000000000004">
      <c r="A24" s="52"/>
      <c r="B24" s="603" t="s">
        <v>266</v>
      </c>
      <c r="C24" s="604"/>
      <c r="D24" s="604"/>
      <c r="E24" s="605" t="s">
        <v>267</v>
      </c>
      <c r="F24" s="606"/>
      <c r="G24" s="606"/>
      <c r="H24" s="607" t="s">
        <v>165</v>
      </c>
      <c r="I24" s="608"/>
      <c r="J24" s="52"/>
      <c r="K24" s="603" t="s">
        <v>268</v>
      </c>
      <c r="L24" s="604"/>
      <c r="M24" s="604"/>
      <c r="N24" s="605" t="s">
        <v>269</v>
      </c>
      <c r="O24" s="606"/>
      <c r="P24" s="606"/>
      <c r="Q24" s="607" t="s">
        <v>168</v>
      </c>
      <c r="R24" s="608"/>
      <c r="S24" s="52"/>
      <c r="T24" s="603" t="s">
        <v>270</v>
      </c>
      <c r="U24" s="604"/>
      <c r="V24" s="604"/>
      <c r="W24" s="605" t="s">
        <v>271</v>
      </c>
      <c r="X24" s="606"/>
      <c r="Y24" s="606"/>
      <c r="Z24" s="607" t="s">
        <v>134</v>
      </c>
      <c r="AA24" s="608"/>
    </row>
    <row r="25" spans="1:27" ht="16.5" customHeight="1" x14ac:dyDescent="0.55000000000000004">
      <c r="A25" s="53" t="s">
        <v>272</v>
      </c>
      <c r="B25" s="603" t="s">
        <v>273</v>
      </c>
      <c r="C25" s="604"/>
      <c r="D25" s="604"/>
      <c r="E25" s="605" t="s">
        <v>274</v>
      </c>
      <c r="F25" s="606"/>
      <c r="G25" s="606"/>
      <c r="H25" s="607" t="s">
        <v>178</v>
      </c>
      <c r="I25" s="608"/>
      <c r="J25" s="52"/>
      <c r="K25" s="603" t="s">
        <v>275</v>
      </c>
      <c r="L25" s="604"/>
      <c r="M25" s="604"/>
      <c r="N25" s="605" t="s">
        <v>276</v>
      </c>
      <c r="O25" s="606"/>
      <c r="P25" s="606"/>
      <c r="Q25" s="607" t="s">
        <v>181</v>
      </c>
      <c r="R25" s="608"/>
      <c r="S25" s="52"/>
      <c r="T25" s="603" t="s">
        <v>277</v>
      </c>
      <c r="U25" s="604"/>
      <c r="V25" s="604"/>
      <c r="W25" s="605" t="s">
        <v>278</v>
      </c>
      <c r="X25" s="606"/>
      <c r="Y25" s="606"/>
      <c r="Z25" s="607" t="s">
        <v>145</v>
      </c>
      <c r="AA25" s="608"/>
    </row>
    <row r="26" spans="1:27" ht="16.5" customHeight="1" x14ac:dyDescent="0.55000000000000004">
      <c r="A26" s="52"/>
      <c r="B26" s="603" t="s">
        <v>279</v>
      </c>
      <c r="C26" s="604"/>
      <c r="D26" s="604"/>
      <c r="E26" s="605" t="s">
        <v>274</v>
      </c>
      <c r="F26" s="606"/>
      <c r="G26" s="606"/>
      <c r="H26" s="607" t="s">
        <v>153</v>
      </c>
      <c r="I26" s="608"/>
      <c r="J26" s="52"/>
      <c r="K26" s="603" t="s">
        <v>280</v>
      </c>
      <c r="L26" s="604"/>
      <c r="M26" s="604"/>
      <c r="N26" s="605" t="s">
        <v>281</v>
      </c>
      <c r="O26" s="606"/>
      <c r="P26" s="606"/>
      <c r="Q26" s="607" t="s">
        <v>217</v>
      </c>
      <c r="R26" s="608"/>
      <c r="S26" s="53" t="s">
        <v>282</v>
      </c>
      <c r="T26" s="603" t="s">
        <v>283</v>
      </c>
      <c r="U26" s="604"/>
      <c r="V26" s="604"/>
      <c r="W26" s="605" t="s">
        <v>284</v>
      </c>
      <c r="X26" s="606"/>
      <c r="Y26" s="606"/>
      <c r="Z26" s="607" t="s">
        <v>165</v>
      </c>
      <c r="AA26" s="608"/>
    </row>
    <row r="27" spans="1:27" ht="16.5" customHeight="1" x14ac:dyDescent="0.55000000000000004">
      <c r="A27" s="52"/>
      <c r="B27" s="603" t="s">
        <v>285</v>
      </c>
      <c r="C27" s="604"/>
      <c r="D27" s="604"/>
      <c r="E27" s="605" t="s">
        <v>286</v>
      </c>
      <c r="F27" s="606"/>
      <c r="G27" s="606"/>
      <c r="H27" s="607" t="s">
        <v>217</v>
      </c>
      <c r="I27" s="608"/>
      <c r="J27" s="52"/>
      <c r="K27" s="603" t="s">
        <v>287</v>
      </c>
      <c r="L27" s="604"/>
      <c r="M27" s="604"/>
      <c r="N27" s="605" t="s">
        <v>288</v>
      </c>
      <c r="O27" s="606"/>
      <c r="P27" s="606"/>
      <c r="Q27" s="607" t="s">
        <v>145</v>
      </c>
      <c r="R27" s="608"/>
      <c r="S27" s="52"/>
      <c r="T27" s="603" t="s">
        <v>289</v>
      </c>
      <c r="U27" s="604"/>
      <c r="V27" s="604"/>
      <c r="W27" s="605" t="s">
        <v>290</v>
      </c>
      <c r="X27" s="606"/>
      <c r="Y27" s="606"/>
      <c r="Z27" s="607" t="s">
        <v>181</v>
      </c>
      <c r="AA27" s="608"/>
    </row>
    <row r="28" spans="1:27" ht="16.5" customHeight="1" x14ac:dyDescent="0.55000000000000004">
      <c r="A28" s="52"/>
      <c r="B28" s="603" t="s">
        <v>291</v>
      </c>
      <c r="C28" s="604"/>
      <c r="D28" s="604"/>
      <c r="E28" s="605" t="s">
        <v>292</v>
      </c>
      <c r="F28" s="606"/>
      <c r="G28" s="606"/>
      <c r="H28" s="607" t="s">
        <v>217</v>
      </c>
      <c r="I28" s="608"/>
      <c r="J28" s="52"/>
      <c r="K28" s="603" t="s">
        <v>293</v>
      </c>
      <c r="L28" s="604"/>
      <c r="M28" s="604"/>
      <c r="N28" s="605" t="s">
        <v>294</v>
      </c>
      <c r="O28" s="606"/>
      <c r="P28" s="606"/>
      <c r="Q28" s="607" t="s">
        <v>123</v>
      </c>
      <c r="R28" s="608"/>
      <c r="S28" s="52"/>
      <c r="T28" s="603" t="s">
        <v>295</v>
      </c>
      <c r="U28" s="604"/>
      <c r="V28" s="604"/>
      <c r="W28" s="605" t="s">
        <v>296</v>
      </c>
      <c r="X28" s="606"/>
      <c r="Y28" s="606"/>
      <c r="Z28" s="607" t="s">
        <v>116</v>
      </c>
      <c r="AA28" s="608"/>
    </row>
    <row r="29" spans="1:27" ht="16.5" customHeight="1" x14ac:dyDescent="0.55000000000000004">
      <c r="A29" s="52"/>
      <c r="B29" s="603" t="s">
        <v>297</v>
      </c>
      <c r="C29" s="604"/>
      <c r="D29" s="604"/>
      <c r="E29" s="605" t="s">
        <v>298</v>
      </c>
      <c r="F29" s="606"/>
      <c r="G29" s="606"/>
      <c r="H29" s="607" t="s">
        <v>134</v>
      </c>
      <c r="I29" s="608"/>
      <c r="J29" s="52"/>
      <c r="K29" s="603" t="s">
        <v>299</v>
      </c>
      <c r="L29" s="604"/>
      <c r="M29" s="604"/>
      <c r="N29" s="605" t="s">
        <v>300</v>
      </c>
      <c r="O29" s="606"/>
      <c r="P29" s="606"/>
      <c r="Q29" s="607" t="s">
        <v>134</v>
      </c>
      <c r="R29" s="608"/>
      <c r="S29" s="52"/>
      <c r="T29" s="603" t="s">
        <v>301</v>
      </c>
      <c r="U29" s="604"/>
      <c r="V29" s="604"/>
      <c r="W29" s="605" t="s">
        <v>302</v>
      </c>
      <c r="X29" s="606"/>
      <c r="Y29" s="606"/>
      <c r="Z29" s="607" t="s">
        <v>126</v>
      </c>
      <c r="AA29" s="608"/>
    </row>
    <row r="30" spans="1:27" ht="16.5" customHeight="1" x14ac:dyDescent="0.55000000000000004">
      <c r="A30" s="52"/>
      <c r="B30" s="603" t="s">
        <v>303</v>
      </c>
      <c r="C30" s="604"/>
      <c r="D30" s="604"/>
      <c r="E30" s="605" t="s">
        <v>304</v>
      </c>
      <c r="F30" s="606"/>
      <c r="G30" s="606"/>
      <c r="H30" s="607" t="s">
        <v>161</v>
      </c>
      <c r="I30" s="608"/>
      <c r="J30" s="53" t="s">
        <v>305</v>
      </c>
      <c r="K30" s="603" t="s">
        <v>306</v>
      </c>
      <c r="L30" s="604"/>
      <c r="M30" s="604"/>
      <c r="N30" s="605" t="s">
        <v>307</v>
      </c>
      <c r="O30" s="606"/>
      <c r="P30" s="606"/>
      <c r="Q30" s="607" t="s">
        <v>156</v>
      </c>
      <c r="R30" s="608"/>
      <c r="S30" s="53" t="s">
        <v>308</v>
      </c>
      <c r="T30" s="603" t="s">
        <v>309</v>
      </c>
      <c r="U30" s="604"/>
      <c r="V30" s="604"/>
      <c r="W30" s="605" t="s">
        <v>310</v>
      </c>
      <c r="X30" s="606"/>
      <c r="Y30" s="606"/>
      <c r="Z30" s="607" t="s">
        <v>175</v>
      </c>
      <c r="AA30" s="608"/>
    </row>
    <row r="31" spans="1:27" ht="16.5" customHeight="1" x14ac:dyDescent="0.55000000000000004">
      <c r="A31" s="52"/>
      <c r="B31" s="603" t="s">
        <v>311</v>
      </c>
      <c r="C31" s="604"/>
      <c r="D31" s="604"/>
      <c r="E31" s="605" t="s">
        <v>312</v>
      </c>
      <c r="F31" s="606"/>
      <c r="G31" s="606"/>
      <c r="H31" s="607" t="s">
        <v>201</v>
      </c>
      <c r="I31" s="608"/>
      <c r="J31" s="52"/>
      <c r="K31" s="603" t="s">
        <v>313</v>
      </c>
      <c r="L31" s="604"/>
      <c r="M31" s="604"/>
      <c r="N31" s="605" t="s">
        <v>314</v>
      </c>
      <c r="O31" s="606"/>
      <c r="P31" s="606"/>
      <c r="Q31" s="607" t="s">
        <v>123</v>
      </c>
      <c r="R31" s="608"/>
      <c r="S31" s="53" t="s">
        <v>315</v>
      </c>
      <c r="T31" s="603" t="s">
        <v>316</v>
      </c>
      <c r="U31" s="604"/>
      <c r="V31" s="604"/>
      <c r="W31" s="605" t="s">
        <v>317</v>
      </c>
      <c r="X31" s="606"/>
      <c r="Y31" s="606"/>
      <c r="Z31" s="607" t="s">
        <v>181</v>
      </c>
      <c r="AA31" s="608"/>
    </row>
    <row r="32" spans="1:27" ht="16.5" customHeight="1" x14ac:dyDescent="0.55000000000000004">
      <c r="A32" s="53" t="s">
        <v>318</v>
      </c>
      <c r="B32" s="603" t="s">
        <v>319</v>
      </c>
      <c r="C32" s="604"/>
      <c r="D32" s="604"/>
      <c r="E32" s="605" t="s">
        <v>320</v>
      </c>
      <c r="F32" s="606"/>
      <c r="G32" s="606"/>
      <c r="H32" s="607" t="s">
        <v>148</v>
      </c>
      <c r="I32" s="608"/>
      <c r="J32" s="53" t="s">
        <v>321</v>
      </c>
      <c r="K32" s="603" t="s">
        <v>322</v>
      </c>
      <c r="L32" s="604"/>
      <c r="M32" s="604"/>
      <c r="N32" s="605" t="s">
        <v>323</v>
      </c>
      <c r="O32" s="606"/>
      <c r="P32" s="606"/>
      <c r="Q32" s="607" t="s">
        <v>178</v>
      </c>
      <c r="R32" s="608"/>
      <c r="S32" s="52"/>
      <c r="T32" s="603" t="s">
        <v>324</v>
      </c>
      <c r="U32" s="604"/>
      <c r="V32" s="604"/>
      <c r="W32" s="605" t="s">
        <v>325</v>
      </c>
      <c r="X32" s="606"/>
      <c r="Y32" s="606"/>
      <c r="Z32" s="607" t="s">
        <v>165</v>
      </c>
      <c r="AA32" s="608"/>
    </row>
    <row r="33" spans="1:27" ht="16.5" customHeight="1" x14ac:dyDescent="0.55000000000000004">
      <c r="A33" s="52"/>
      <c r="B33" s="603" t="s">
        <v>326</v>
      </c>
      <c r="C33" s="604"/>
      <c r="D33" s="604"/>
      <c r="E33" s="605" t="s">
        <v>327</v>
      </c>
      <c r="F33" s="606"/>
      <c r="G33" s="606"/>
      <c r="H33" s="607" t="s">
        <v>120</v>
      </c>
      <c r="I33" s="608"/>
      <c r="J33" s="53" t="s">
        <v>328</v>
      </c>
      <c r="K33" s="603" t="s">
        <v>329</v>
      </c>
      <c r="L33" s="604"/>
      <c r="M33" s="604"/>
      <c r="N33" s="605" t="s">
        <v>330</v>
      </c>
      <c r="O33" s="606"/>
      <c r="P33" s="606"/>
      <c r="Q33" s="607" t="s">
        <v>185</v>
      </c>
      <c r="R33" s="608"/>
      <c r="S33" s="52"/>
      <c r="T33" s="603" t="s">
        <v>331</v>
      </c>
      <c r="U33" s="604"/>
      <c r="V33" s="604"/>
      <c r="W33" s="605" t="s">
        <v>332</v>
      </c>
      <c r="X33" s="606"/>
      <c r="Y33" s="606"/>
      <c r="Z33" s="607" t="s">
        <v>116</v>
      </c>
      <c r="AA33" s="608"/>
    </row>
    <row r="34" spans="1:27" ht="16.5" customHeight="1" x14ac:dyDescent="0.55000000000000004">
      <c r="A34" s="52"/>
      <c r="B34" s="603" t="s">
        <v>333</v>
      </c>
      <c r="C34" s="604"/>
      <c r="D34" s="604"/>
      <c r="E34" s="605" t="s">
        <v>334</v>
      </c>
      <c r="F34" s="606"/>
      <c r="G34" s="606"/>
      <c r="H34" s="607" t="s">
        <v>178</v>
      </c>
      <c r="I34" s="608"/>
      <c r="J34" s="53" t="s">
        <v>335</v>
      </c>
      <c r="K34" s="603" t="s">
        <v>336</v>
      </c>
      <c r="L34" s="604"/>
      <c r="M34" s="604"/>
      <c r="N34" s="605" t="s">
        <v>337</v>
      </c>
      <c r="O34" s="606"/>
      <c r="P34" s="606"/>
      <c r="Q34" s="607" t="s">
        <v>145</v>
      </c>
      <c r="R34" s="608"/>
      <c r="S34" s="52"/>
      <c r="T34" s="603" t="s">
        <v>338</v>
      </c>
      <c r="U34" s="604"/>
      <c r="V34" s="604"/>
      <c r="W34" s="605" t="s">
        <v>339</v>
      </c>
      <c r="X34" s="606"/>
      <c r="Y34" s="606"/>
      <c r="Z34" s="607" t="s">
        <v>153</v>
      </c>
      <c r="AA34" s="608"/>
    </row>
    <row r="35" spans="1:27" ht="16.5" customHeight="1" x14ac:dyDescent="0.55000000000000004">
      <c r="A35" s="52"/>
      <c r="B35" s="603" t="s">
        <v>340</v>
      </c>
      <c r="C35" s="604"/>
      <c r="D35" s="604"/>
      <c r="E35" s="605" t="s">
        <v>341</v>
      </c>
      <c r="F35" s="606"/>
      <c r="G35" s="606"/>
      <c r="H35" s="607" t="s">
        <v>161</v>
      </c>
      <c r="I35" s="608"/>
      <c r="J35" s="52"/>
      <c r="K35" s="603" t="s">
        <v>342</v>
      </c>
      <c r="L35" s="604"/>
      <c r="M35" s="604"/>
      <c r="N35" s="605" t="s">
        <v>343</v>
      </c>
      <c r="O35" s="606"/>
      <c r="P35" s="606"/>
      <c r="Q35" s="607" t="s">
        <v>116</v>
      </c>
      <c r="R35" s="608"/>
      <c r="S35" s="52"/>
      <c r="T35" s="603" t="s">
        <v>344</v>
      </c>
      <c r="U35" s="604"/>
      <c r="V35" s="604"/>
      <c r="W35" s="605" t="s">
        <v>345</v>
      </c>
      <c r="X35" s="606"/>
      <c r="Y35" s="606"/>
      <c r="Z35" s="607" t="s">
        <v>145</v>
      </c>
      <c r="AA35" s="608"/>
    </row>
    <row r="36" spans="1:27" ht="16.5" customHeight="1" x14ac:dyDescent="0.55000000000000004">
      <c r="A36" s="52"/>
      <c r="B36" s="603" t="s">
        <v>346</v>
      </c>
      <c r="C36" s="604"/>
      <c r="D36" s="604"/>
      <c r="E36" s="605" t="s">
        <v>347</v>
      </c>
      <c r="F36" s="606"/>
      <c r="G36" s="606"/>
      <c r="H36" s="607" t="s">
        <v>148</v>
      </c>
      <c r="I36" s="608"/>
      <c r="J36" s="52"/>
      <c r="K36" s="603" t="s">
        <v>348</v>
      </c>
      <c r="L36" s="604"/>
      <c r="M36" s="604"/>
      <c r="N36" s="605" t="s">
        <v>349</v>
      </c>
      <c r="O36" s="606"/>
      <c r="P36" s="606"/>
      <c r="Q36" s="607" t="s">
        <v>123</v>
      </c>
      <c r="R36" s="608"/>
      <c r="S36" s="53" t="s">
        <v>350</v>
      </c>
      <c r="T36" s="603" t="s">
        <v>351</v>
      </c>
      <c r="U36" s="604"/>
      <c r="V36" s="604"/>
      <c r="W36" s="605" t="s">
        <v>352</v>
      </c>
      <c r="X36" s="606"/>
      <c r="Y36" s="606"/>
      <c r="Z36" s="607" t="s">
        <v>145</v>
      </c>
      <c r="AA36" s="608"/>
    </row>
    <row r="37" spans="1:27" ht="16.5" customHeight="1" x14ac:dyDescent="0.55000000000000004">
      <c r="A37" s="52"/>
      <c r="B37" s="603" t="s">
        <v>353</v>
      </c>
      <c r="C37" s="604"/>
      <c r="D37" s="604"/>
      <c r="E37" s="605" t="s">
        <v>354</v>
      </c>
      <c r="F37" s="606"/>
      <c r="G37" s="606"/>
      <c r="H37" s="607" t="s">
        <v>181</v>
      </c>
      <c r="I37" s="608"/>
      <c r="J37" s="52"/>
      <c r="K37" s="603" t="s">
        <v>355</v>
      </c>
      <c r="L37" s="604"/>
      <c r="M37" s="604"/>
      <c r="N37" s="605" t="s">
        <v>356</v>
      </c>
      <c r="O37" s="606"/>
      <c r="P37" s="606"/>
      <c r="Q37" s="607" t="s">
        <v>148</v>
      </c>
      <c r="R37" s="608"/>
      <c r="S37" s="52"/>
      <c r="T37" s="603" t="s">
        <v>357</v>
      </c>
      <c r="U37" s="604"/>
      <c r="V37" s="604"/>
      <c r="W37" s="605" t="s">
        <v>358</v>
      </c>
      <c r="X37" s="606"/>
      <c r="Y37" s="606"/>
      <c r="Z37" s="607" t="s">
        <v>201</v>
      </c>
      <c r="AA37" s="608"/>
    </row>
    <row r="38" spans="1:27" ht="16.5" customHeight="1" x14ac:dyDescent="0.55000000000000004">
      <c r="A38" s="52"/>
      <c r="B38" s="603" t="s">
        <v>359</v>
      </c>
      <c r="C38" s="604"/>
      <c r="D38" s="604"/>
      <c r="E38" s="605" t="s">
        <v>360</v>
      </c>
      <c r="F38" s="606"/>
      <c r="G38" s="606"/>
      <c r="H38" s="607" t="s">
        <v>126</v>
      </c>
      <c r="I38" s="608"/>
      <c r="J38" s="52"/>
      <c r="K38" s="603" t="s">
        <v>361</v>
      </c>
      <c r="L38" s="604"/>
      <c r="M38" s="604"/>
      <c r="N38" s="605" t="s">
        <v>362</v>
      </c>
      <c r="O38" s="606"/>
      <c r="P38" s="606"/>
      <c r="Q38" s="607" t="s">
        <v>185</v>
      </c>
      <c r="R38" s="608"/>
      <c r="S38" s="52"/>
      <c r="T38" s="603" t="s">
        <v>363</v>
      </c>
      <c r="U38" s="604"/>
      <c r="V38" s="604"/>
      <c r="W38" s="605" t="s">
        <v>364</v>
      </c>
      <c r="X38" s="606"/>
      <c r="Y38" s="606"/>
      <c r="Z38" s="607" t="s">
        <v>156</v>
      </c>
      <c r="AA38" s="608"/>
    </row>
    <row r="39" spans="1:27" ht="16.5" customHeight="1" x14ac:dyDescent="0.55000000000000004">
      <c r="A39" s="52"/>
      <c r="B39" s="603" t="s">
        <v>365</v>
      </c>
      <c r="C39" s="604"/>
      <c r="D39" s="604"/>
      <c r="E39" s="605" t="s">
        <v>366</v>
      </c>
      <c r="F39" s="606"/>
      <c r="G39" s="606"/>
      <c r="H39" s="607" t="s">
        <v>198</v>
      </c>
      <c r="I39" s="608"/>
      <c r="J39" s="53" t="s">
        <v>367</v>
      </c>
      <c r="K39" s="603" t="s">
        <v>368</v>
      </c>
      <c r="L39" s="604"/>
      <c r="M39" s="604"/>
      <c r="N39" s="605" t="s">
        <v>369</v>
      </c>
      <c r="O39" s="606"/>
      <c r="P39" s="606"/>
      <c r="Q39" s="607" t="s">
        <v>165</v>
      </c>
      <c r="R39" s="608"/>
      <c r="S39" s="52"/>
      <c r="T39" s="603" t="s">
        <v>370</v>
      </c>
      <c r="U39" s="604"/>
      <c r="V39" s="604"/>
      <c r="W39" s="605" t="s">
        <v>371</v>
      </c>
      <c r="X39" s="606"/>
      <c r="Y39" s="606"/>
      <c r="Z39" s="607" t="s">
        <v>181</v>
      </c>
      <c r="AA39" s="608"/>
    </row>
    <row r="40" spans="1:27" ht="16.5" customHeight="1" x14ac:dyDescent="0.55000000000000004">
      <c r="A40" s="52"/>
      <c r="B40" s="603" t="s">
        <v>372</v>
      </c>
      <c r="C40" s="604"/>
      <c r="D40" s="604"/>
      <c r="E40" s="605" t="s">
        <v>373</v>
      </c>
      <c r="F40" s="606"/>
      <c r="G40" s="606"/>
      <c r="H40" s="607" t="s">
        <v>145</v>
      </c>
      <c r="I40" s="608"/>
      <c r="J40" s="52"/>
      <c r="K40" s="603" t="s">
        <v>374</v>
      </c>
      <c r="L40" s="604"/>
      <c r="M40" s="604"/>
      <c r="N40" s="605" t="s">
        <v>375</v>
      </c>
      <c r="O40" s="606"/>
      <c r="P40" s="606"/>
      <c r="Q40" s="607" t="s">
        <v>217</v>
      </c>
      <c r="R40" s="608"/>
      <c r="S40" s="53" t="s">
        <v>376</v>
      </c>
      <c r="T40" s="603" t="s">
        <v>377</v>
      </c>
      <c r="U40" s="604"/>
      <c r="V40" s="604"/>
      <c r="W40" s="605" t="s">
        <v>378</v>
      </c>
      <c r="X40" s="606"/>
      <c r="Y40" s="606"/>
      <c r="Z40" s="607" t="s">
        <v>123</v>
      </c>
      <c r="AA40" s="608"/>
    </row>
    <row r="41" spans="1:27" ht="16.5" customHeight="1" x14ac:dyDescent="0.55000000000000004">
      <c r="A41" s="52"/>
      <c r="B41" s="603" t="s">
        <v>379</v>
      </c>
      <c r="C41" s="604"/>
      <c r="D41" s="604"/>
      <c r="E41" s="605" t="s">
        <v>380</v>
      </c>
      <c r="F41" s="606"/>
      <c r="G41" s="606"/>
      <c r="H41" s="607" t="s">
        <v>178</v>
      </c>
      <c r="I41" s="608"/>
      <c r="J41" s="53" t="s">
        <v>381</v>
      </c>
      <c r="K41" s="603" t="s">
        <v>382</v>
      </c>
      <c r="L41" s="604"/>
      <c r="M41" s="604"/>
      <c r="N41" s="605" t="s">
        <v>383</v>
      </c>
      <c r="O41" s="606"/>
      <c r="P41" s="606"/>
      <c r="Q41" s="607" t="s">
        <v>123</v>
      </c>
      <c r="R41" s="608"/>
      <c r="S41" s="52"/>
      <c r="T41" s="603" t="s">
        <v>384</v>
      </c>
      <c r="U41" s="604"/>
      <c r="V41" s="604"/>
      <c r="W41" s="605" t="s">
        <v>385</v>
      </c>
      <c r="X41" s="606"/>
      <c r="Y41" s="606"/>
      <c r="Z41" s="607" t="s">
        <v>116</v>
      </c>
      <c r="AA41" s="608"/>
    </row>
    <row r="42" spans="1:27" ht="16.5" customHeight="1" x14ac:dyDescent="0.55000000000000004">
      <c r="A42" s="52"/>
      <c r="B42" s="603" t="s">
        <v>386</v>
      </c>
      <c r="C42" s="604"/>
      <c r="D42" s="604"/>
      <c r="E42" s="605" t="s">
        <v>387</v>
      </c>
      <c r="F42" s="606"/>
      <c r="G42" s="606"/>
      <c r="H42" s="607" t="s">
        <v>145</v>
      </c>
      <c r="I42" s="608"/>
      <c r="J42" s="52"/>
      <c r="K42" s="603" t="s">
        <v>388</v>
      </c>
      <c r="L42" s="604"/>
      <c r="M42" s="604"/>
      <c r="N42" s="605" t="s">
        <v>389</v>
      </c>
      <c r="O42" s="606"/>
      <c r="P42" s="606"/>
      <c r="Q42" s="607" t="s">
        <v>120</v>
      </c>
      <c r="R42" s="608"/>
      <c r="S42" s="53" t="s">
        <v>390</v>
      </c>
      <c r="T42" s="603" t="s">
        <v>391</v>
      </c>
      <c r="U42" s="604"/>
      <c r="V42" s="604"/>
      <c r="W42" s="605" t="s">
        <v>392</v>
      </c>
      <c r="X42" s="606"/>
      <c r="Y42" s="606"/>
      <c r="Z42" s="607" t="s">
        <v>188</v>
      </c>
      <c r="AA42" s="608"/>
    </row>
    <row r="43" spans="1:27" ht="16.5" customHeight="1" x14ac:dyDescent="0.55000000000000004">
      <c r="A43" s="52"/>
      <c r="B43" s="603" t="s">
        <v>393</v>
      </c>
      <c r="C43" s="604"/>
      <c r="D43" s="604"/>
      <c r="E43" s="605" t="s">
        <v>394</v>
      </c>
      <c r="F43" s="606"/>
      <c r="G43" s="606"/>
      <c r="H43" s="607" t="s">
        <v>201</v>
      </c>
      <c r="I43" s="608"/>
      <c r="J43" s="52"/>
      <c r="K43" s="603" t="s">
        <v>395</v>
      </c>
      <c r="L43" s="604"/>
      <c r="M43" s="604"/>
      <c r="N43" s="605" t="s">
        <v>396</v>
      </c>
      <c r="O43" s="606"/>
      <c r="P43" s="606"/>
      <c r="Q43" s="607" t="s">
        <v>168</v>
      </c>
      <c r="R43" s="608"/>
      <c r="S43" s="52"/>
      <c r="T43" s="603" t="s">
        <v>397</v>
      </c>
      <c r="U43" s="604"/>
      <c r="V43" s="604"/>
      <c r="W43" s="605" t="s">
        <v>398</v>
      </c>
      <c r="X43" s="606"/>
      <c r="Y43" s="606"/>
      <c r="Z43" s="607" t="s">
        <v>185</v>
      </c>
      <c r="AA43" s="608"/>
    </row>
    <row r="44" spans="1:27" ht="16.5" customHeight="1" x14ac:dyDescent="0.55000000000000004">
      <c r="A44" s="53" t="s">
        <v>399</v>
      </c>
      <c r="B44" s="603" t="s">
        <v>400</v>
      </c>
      <c r="C44" s="604"/>
      <c r="D44" s="604"/>
      <c r="E44" s="605" t="s">
        <v>401</v>
      </c>
      <c r="F44" s="606"/>
      <c r="G44" s="606"/>
      <c r="H44" s="607" t="s">
        <v>116</v>
      </c>
      <c r="I44" s="608"/>
      <c r="J44" s="53" t="s">
        <v>402</v>
      </c>
      <c r="K44" s="603" t="s">
        <v>403</v>
      </c>
      <c r="L44" s="604"/>
      <c r="M44" s="604"/>
      <c r="N44" s="605" t="s">
        <v>404</v>
      </c>
      <c r="O44" s="606"/>
      <c r="P44" s="606"/>
      <c r="Q44" s="607" t="s">
        <v>201</v>
      </c>
      <c r="R44" s="608"/>
      <c r="S44" s="53" t="s">
        <v>405</v>
      </c>
      <c r="T44" s="603" t="s">
        <v>406</v>
      </c>
      <c r="U44" s="604"/>
      <c r="V44" s="604"/>
      <c r="W44" s="605" t="s">
        <v>407</v>
      </c>
      <c r="X44" s="606"/>
      <c r="Y44" s="606"/>
      <c r="Z44" s="607" t="s">
        <v>145</v>
      </c>
      <c r="AA44" s="608"/>
    </row>
    <row r="45" spans="1:27" ht="16.5" customHeight="1" x14ac:dyDescent="0.55000000000000004">
      <c r="A45" s="52"/>
      <c r="B45" s="603" t="s">
        <v>408</v>
      </c>
      <c r="C45" s="604"/>
      <c r="D45" s="604"/>
      <c r="E45" s="605" t="s">
        <v>409</v>
      </c>
      <c r="F45" s="606"/>
      <c r="G45" s="606"/>
      <c r="H45" s="607" t="s">
        <v>145</v>
      </c>
      <c r="I45" s="608"/>
      <c r="J45" s="52"/>
      <c r="K45" s="603" t="s">
        <v>410</v>
      </c>
      <c r="L45" s="604"/>
      <c r="M45" s="604"/>
      <c r="N45" s="605" t="s">
        <v>411</v>
      </c>
      <c r="O45" s="606"/>
      <c r="P45" s="606"/>
      <c r="Q45" s="607" t="s">
        <v>168</v>
      </c>
      <c r="R45" s="608"/>
      <c r="S45" s="53" t="s">
        <v>412</v>
      </c>
      <c r="T45" s="603" t="s">
        <v>413</v>
      </c>
      <c r="U45" s="604"/>
      <c r="V45" s="604"/>
      <c r="W45" s="605" t="s">
        <v>414</v>
      </c>
      <c r="X45" s="606"/>
      <c r="Y45" s="606"/>
      <c r="Z45" s="607" t="s">
        <v>165</v>
      </c>
      <c r="AA45" s="608"/>
    </row>
    <row r="46" spans="1:27" ht="16.5" customHeight="1" x14ac:dyDescent="0.55000000000000004">
      <c r="A46" s="52"/>
      <c r="B46" s="603" t="s">
        <v>415</v>
      </c>
      <c r="C46" s="604"/>
      <c r="D46" s="604"/>
      <c r="E46" s="605" t="s">
        <v>416</v>
      </c>
      <c r="F46" s="606"/>
      <c r="G46" s="606"/>
      <c r="H46" s="607" t="s">
        <v>123</v>
      </c>
      <c r="I46" s="608"/>
      <c r="J46" s="53" t="s">
        <v>417</v>
      </c>
      <c r="K46" s="603" t="s">
        <v>418</v>
      </c>
      <c r="L46" s="604"/>
      <c r="M46" s="604"/>
      <c r="N46" s="605" t="s">
        <v>419</v>
      </c>
      <c r="O46" s="606"/>
      <c r="P46" s="606"/>
      <c r="Q46" s="607" t="s">
        <v>217</v>
      </c>
      <c r="R46" s="608"/>
      <c r="S46" s="52"/>
      <c r="T46" s="603" t="s">
        <v>420</v>
      </c>
      <c r="U46" s="604"/>
      <c r="V46" s="604"/>
      <c r="W46" s="605" t="s">
        <v>421</v>
      </c>
      <c r="X46" s="606"/>
      <c r="Y46" s="606"/>
      <c r="Z46" s="607" t="s">
        <v>181</v>
      </c>
      <c r="AA46" s="608"/>
    </row>
    <row r="47" spans="1:27" ht="16.5" customHeight="1" x14ac:dyDescent="0.55000000000000004">
      <c r="A47" s="52"/>
      <c r="B47" s="603" t="s">
        <v>422</v>
      </c>
      <c r="C47" s="604"/>
      <c r="D47" s="604"/>
      <c r="E47" s="605" t="s">
        <v>423</v>
      </c>
      <c r="F47" s="606"/>
      <c r="G47" s="606"/>
      <c r="H47" s="607" t="s">
        <v>178</v>
      </c>
      <c r="I47" s="608"/>
      <c r="J47" s="52"/>
      <c r="K47" s="603" t="s">
        <v>424</v>
      </c>
      <c r="L47" s="604"/>
      <c r="M47" s="604"/>
      <c r="N47" s="605" t="s">
        <v>425</v>
      </c>
      <c r="O47" s="606"/>
      <c r="P47" s="606"/>
      <c r="Q47" s="607" t="s">
        <v>116</v>
      </c>
      <c r="R47" s="608"/>
      <c r="S47" s="52"/>
      <c r="T47" s="603" t="s">
        <v>426</v>
      </c>
      <c r="U47" s="604"/>
      <c r="V47" s="604"/>
      <c r="W47" s="605" t="s">
        <v>427</v>
      </c>
      <c r="X47" s="606"/>
      <c r="Y47" s="606"/>
      <c r="Z47" s="607" t="s">
        <v>148</v>
      </c>
      <c r="AA47" s="608"/>
    </row>
    <row r="48" spans="1:27" ht="16.5" customHeight="1" x14ac:dyDescent="0.55000000000000004">
      <c r="A48" s="52"/>
      <c r="B48" s="603" t="s">
        <v>428</v>
      </c>
      <c r="C48" s="604"/>
      <c r="D48" s="604"/>
      <c r="E48" s="605" t="s">
        <v>429</v>
      </c>
      <c r="F48" s="606"/>
      <c r="G48" s="606"/>
      <c r="H48" s="607" t="s">
        <v>116</v>
      </c>
      <c r="I48" s="608"/>
      <c r="J48" s="52"/>
      <c r="K48" s="603" t="s">
        <v>430</v>
      </c>
      <c r="L48" s="604"/>
      <c r="M48" s="604"/>
      <c r="N48" s="605" t="s">
        <v>431</v>
      </c>
      <c r="O48" s="606"/>
      <c r="P48" s="606"/>
      <c r="Q48" s="607" t="s">
        <v>185</v>
      </c>
      <c r="R48" s="608"/>
      <c r="S48" s="53" t="s">
        <v>432</v>
      </c>
      <c r="T48" s="603" t="s">
        <v>433</v>
      </c>
      <c r="U48" s="604"/>
      <c r="V48" s="604"/>
      <c r="W48" s="605" t="s">
        <v>434</v>
      </c>
      <c r="X48" s="606"/>
      <c r="Y48" s="606"/>
      <c r="Z48" s="607" t="s">
        <v>181</v>
      </c>
      <c r="AA48" s="608"/>
    </row>
    <row r="49" spans="1:27" ht="16.5" customHeight="1" x14ac:dyDescent="0.55000000000000004">
      <c r="A49" s="52"/>
      <c r="B49" s="603" t="s">
        <v>435</v>
      </c>
      <c r="C49" s="604"/>
      <c r="D49" s="604"/>
      <c r="E49" s="605" t="s">
        <v>436</v>
      </c>
      <c r="F49" s="606"/>
      <c r="G49" s="606"/>
      <c r="H49" s="607" t="s">
        <v>156</v>
      </c>
      <c r="I49" s="608"/>
      <c r="J49" s="52"/>
      <c r="K49" s="603" t="s">
        <v>437</v>
      </c>
      <c r="L49" s="604"/>
      <c r="M49" s="604"/>
      <c r="N49" s="605" t="s">
        <v>438</v>
      </c>
      <c r="O49" s="606"/>
      <c r="P49" s="606"/>
      <c r="Q49" s="607" t="s">
        <v>188</v>
      </c>
      <c r="R49" s="608"/>
      <c r="S49" s="53" t="s">
        <v>439</v>
      </c>
      <c r="T49" s="603" t="s">
        <v>440</v>
      </c>
      <c r="U49" s="604"/>
      <c r="V49" s="604"/>
      <c r="W49" s="605" t="s">
        <v>441</v>
      </c>
      <c r="X49" s="606"/>
      <c r="Y49" s="606"/>
      <c r="Z49" s="607" t="s">
        <v>123</v>
      </c>
      <c r="AA49" s="608"/>
    </row>
    <row r="50" spans="1:27" ht="16.5" customHeight="1" x14ac:dyDescent="0.55000000000000004">
      <c r="A50" s="53" t="s">
        <v>442</v>
      </c>
      <c r="B50" s="603" t="s">
        <v>443</v>
      </c>
      <c r="C50" s="604"/>
      <c r="D50" s="604"/>
      <c r="E50" s="605" t="s">
        <v>444</v>
      </c>
      <c r="F50" s="606"/>
      <c r="G50" s="606"/>
      <c r="H50" s="607" t="s">
        <v>181</v>
      </c>
      <c r="I50" s="608"/>
      <c r="J50" s="52"/>
      <c r="K50" s="603" t="s">
        <v>445</v>
      </c>
      <c r="L50" s="604"/>
      <c r="M50" s="604"/>
      <c r="N50" s="605" t="s">
        <v>446</v>
      </c>
      <c r="O50" s="606"/>
      <c r="P50" s="606"/>
      <c r="Q50" s="607" t="s">
        <v>201</v>
      </c>
      <c r="R50" s="608"/>
      <c r="S50" s="52"/>
      <c r="T50" s="603" t="s">
        <v>447</v>
      </c>
      <c r="U50" s="604"/>
      <c r="V50" s="604"/>
      <c r="W50" s="605" t="s">
        <v>448</v>
      </c>
      <c r="X50" s="606"/>
      <c r="Y50" s="606"/>
      <c r="Z50" s="607" t="s">
        <v>148</v>
      </c>
      <c r="AA50" s="608"/>
    </row>
    <row r="51" spans="1:27" ht="16.5" customHeight="1" x14ac:dyDescent="0.55000000000000004">
      <c r="A51" s="52"/>
      <c r="B51" s="603" t="s">
        <v>449</v>
      </c>
      <c r="C51" s="604"/>
      <c r="D51" s="604"/>
      <c r="E51" s="605" t="s">
        <v>450</v>
      </c>
      <c r="F51" s="606"/>
      <c r="G51" s="606"/>
      <c r="H51" s="607" t="s">
        <v>217</v>
      </c>
      <c r="I51" s="608"/>
      <c r="J51" s="52"/>
      <c r="K51" s="603" t="s">
        <v>451</v>
      </c>
      <c r="L51" s="604"/>
      <c r="M51" s="604"/>
      <c r="N51" s="605" t="s">
        <v>452</v>
      </c>
      <c r="O51" s="606"/>
      <c r="P51" s="606"/>
      <c r="Q51" s="607" t="s">
        <v>156</v>
      </c>
      <c r="R51" s="608"/>
      <c r="S51" s="52"/>
      <c r="T51" s="603" t="s">
        <v>453</v>
      </c>
      <c r="U51" s="604"/>
      <c r="V51" s="604"/>
      <c r="W51" s="605" t="s">
        <v>454</v>
      </c>
      <c r="X51" s="606"/>
      <c r="Y51" s="606"/>
      <c r="Z51" s="607" t="s">
        <v>123</v>
      </c>
      <c r="AA51" s="608"/>
    </row>
    <row r="52" spans="1:27" ht="16.5" customHeight="1" x14ac:dyDescent="0.55000000000000004">
      <c r="A52" s="52"/>
      <c r="B52" s="603" t="s">
        <v>455</v>
      </c>
      <c r="C52" s="604"/>
      <c r="D52" s="604"/>
      <c r="E52" s="605" t="s">
        <v>456</v>
      </c>
      <c r="F52" s="606"/>
      <c r="G52" s="606"/>
      <c r="H52" s="607" t="s">
        <v>161</v>
      </c>
      <c r="I52" s="608"/>
      <c r="J52" s="52"/>
      <c r="K52" s="603" t="s">
        <v>457</v>
      </c>
      <c r="L52" s="604"/>
      <c r="M52" s="604"/>
      <c r="N52" s="605" t="s">
        <v>458</v>
      </c>
      <c r="O52" s="606"/>
      <c r="P52" s="606"/>
      <c r="Q52" s="607" t="s">
        <v>185</v>
      </c>
      <c r="R52" s="608"/>
      <c r="S52" s="53" t="s">
        <v>459</v>
      </c>
      <c r="T52" s="603" t="s">
        <v>460</v>
      </c>
      <c r="U52" s="604"/>
      <c r="V52" s="604"/>
      <c r="W52" s="605" t="s">
        <v>461</v>
      </c>
      <c r="X52" s="606"/>
      <c r="Y52" s="606"/>
      <c r="Z52" s="607" t="s">
        <v>126</v>
      </c>
      <c r="AA52" s="608"/>
    </row>
    <row r="53" spans="1:27" ht="16.5" customHeight="1" x14ac:dyDescent="0.55000000000000004">
      <c r="A53" s="52"/>
      <c r="B53" s="603" t="s">
        <v>462</v>
      </c>
      <c r="C53" s="604"/>
      <c r="D53" s="604"/>
      <c r="E53" s="605" t="s">
        <v>463</v>
      </c>
      <c r="F53" s="606"/>
      <c r="G53" s="606"/>
      <c r="H53" s="607" t="s">
        <v>156</v>
      </c>
      <c r="I53" s="608"/>
      <c r="J53" s="52"/>
      <c r="K53" s="603" t="s">
        <v>464</v>
      </c>
      <c r="L53" s="604"/>
      <c r="M53" s="604"/>
      <c r="N53" s="605" t="s">
        <v>465</v>
      </c>
      <c r="O53" s="606"/>
      <c r="P53" s="606"/>
      <c r="Q53" s="607" t="s">
        <v>145</v>
      </c>
      <c r="R53" s="608"/>
      <c r="S53" s="53" t="s">
        <v>466</v>
      </c>
      <c r="T53" s="603" t="s">
        <v>467</v>
      </c>
      <c r="U53" s="604"/>
      <c r="V53" s="604"/>
      <c r="W53" s="605" t="s">
        <v>468</v>
      </c>
      <c r="X53" s="606"/>
      <c r="Y53" s="606"/>
      <c r="Z53" s="607" t="s">
        <v>175</v>
      </c>
      <c r="AA53" s="608"/>
    </row>
    <row r="54" spans="1:27" ht="16.5" customHeight="1" x14ac:dyDescent="0.55000000000000004">
      <c r="A54" s="52"/>
      <c r="B54" s="603" t="s">
        <v>469</v>
      </c>
      <c r="C54" s="604"/>
      <c r="D54" s="604"/>
      <c r="E54" s="605" t="s">
        <v>470</v>
      </c>
      <c r="F54" s="606"/>
      <c r="G54" s="606"/>
      <c r="H54" s="607" t="s">
        <v>156</v>
      </c>
      <c r="I54" s="608"/>
      <c r="J54" s="52"/>
      <c r="K54" s="603" t="s">
        <v>471</v>
      </c>
      <c r="L54" s="604"/>
      <c r="M54" s="604"/>
      <c r="N54" s="605" t="s">
        <v>472</v>
      </c>
      <c r="O54" s="606"/>
      <c r="P54" s="606"/>
      <c r="Q54" s="607" t="s">
        <v>153</v>
      </c>
      <c r="R54" s="608"/>
      <c r="S54" s="52"/>
      <c r="T54" s="603" t="s">
        <v>473</v>
      </c>
      <c r="U54" s="604"/>
      <c r="V54" s="604"/>
      <c r="W54" s="605" t="s">
        <v>474</v>
      </c>
      <c r="X54" s="606"/>
      <c r="Y54" s="606"/>
      <c r="Z54" s="607" t="s">
        <v>156</v>
      </c>
      <c r="AA54" s="608"/>
    </row>
    <row r="55" spans="1:27" ht="16.5" customHeight="1" x14ac:dyDescent="0.55000000000000004">
      <c r="A55" s="52"/>
      <c r="B55" s="603" t="s">
        <v>475</v>
      </c>
      <c r="C55" s="604"/>
      <c r="D55" s="604"/>
      <c r="E55" s="605" t="s">
        <v>476</v>
      </c>
      <c r="F55" s="606"/>
      <c r="G55" s="606"/>
      <c r="H55" s="607" t="s">
        <v>156</v>
      </c>
      <c r="I55" s="608"/>
      <c r="J55" s="53" t="s">
        <v>477</v>
      </c>
      <c r="K55" s="603" t="s">
        <v>478</v>
      </c>
      <c r="L55" s="604"/>
      <c r="M55" s="604"/>
      <c r="N55" s="605" t="s">
        <v>479</v>
      </c>
      <c r="O55" s="606"/>
      <c r="P55" s="606"/>
      <c r="Q55" s="607" t="s">
        <v>123</v>
      </c>
      <c r="R55" s="608"/>
      <c r="S55" s="53" t="s">
        <v>480</v>
      </c>
      <c r="T55" s="603" t="s">
        <v>481</v>
      </c>
      <c r="U55" s="604"/>
      <c r="V55" s="604"/>
      <c r="W55" s="605" t="s">
        <v>482</v>
      </c>
      <c r="X55" s="606"/>
      <c r="Y55" s="606"/>
      <c r="Z55" s="607" t="s">
        <v>145</v>
      </c>
      <c r="AA55" s="608"/>
    </row>
    <row r="56" spans="1:27" ht="16.5" customHeight="1" x14ac:dyDescent="0.55000000000000004">
      <c r="A56" s="52"/>
      <c r="B56" s="603" t="s">
        <v>483</v>
      </c>
      <c r="C56" s="604"/>
      <c r="D56" s="604"/>
      <c r="E56" s="605" t="s">
        <v>484</v>
      </c>
      <c r="F56" s="606"/>
      <c r="G56" s="606"/>
      <c r="H56" s="607" t="s">
        <v>120</v>
      </c>
      <c r="I56" s="608"/>
      <c r="J56" s="52"/>
      <c r="K56" s="603" t="s">
        <v>485</v>
      </c>
      <c r="L56" s="604"/>
      <c r="M56" s="604"/>
      <c r="N56" s="605" t="s">
        <v>486</v>
      </c>
      <c r="O56" s="606"/>
      <c r="P56" s="606"/>
      <c r="Q56" s="607" t="s">
        <v>198</v>
      </c>
      <c r="R56" s="608"/>
      <c r="S56" s="52"/>
      <c r="T56" s="603" t="s">
        <v>487</v>
      </c>
      <c r="U56" s="604"/>
      <c r="V56" s="604"/>
      <c r="W56" s="605" t="s">
        <v>488</v>
      </c>
      <c r="X56" s="606"/>
      <c r="Y56" s="606"/>
      <c r="Z56" s="607" t="s">
        <v>153</v>
      </c>
      <c r="AA56" s="608"/>
    </row>
    <row r="57" spans="1:27" ht="16.5" customHeight="1" x14ac:dyDescent="0.55000000000000004">
      <c r="A57" s="53" t="s">
        <v>489</v>
      </c>
      <c r="B57" s="603" t="s">
        <v>490</v>
      </c>
      <c r="C57" s="604"/>
      <c r="D57" s="604"/>
      <c r="E57" s="605" t="s">
        <v>491</v>
      </c>
      <c r="F57" s="606"/>
      <c r="G57" s="606"/>
      <c r="H57" s="607" t="s">
        <v>168</v>
      </c>
      <c r="I57" s="608"/>
      <c r="J57" s="52"/>
      <c r="K57" s="603" t="s">
        <v>492</v>
      </c>
      <c r="L57" s="604"/>
      <c r="M57" s="604"/>
      <c r="N57" s="605" t="s">
        <v>493</v>
      </c>
      <c r="O57" s="606"/>
      <c r="P57" s="606"/>
      <c r="Q57" s="607" t="s">
        <v>145</v>
      </c>
      <c r="R57" s="608"/>
      <c r="S57" s="52"/>
      <c r="T57" s="603" t="s">
        <v>494</v>
      </c>
      <c r="U57" s="604"/>
      <c r="V57" s="604"/>
      <c r="W57" s="605" t="s">
        <v>495</v>
      </c>
      <c r="X57" s="606"/>
      <c r="Y57" s="606"/>
      <c r="Z57" s="607" t="s">
        <v>153</v>
      </c>
      <c r="AA57" s="608"/>
    </row>
    <row r="58" spans="1:27" ht="16.5" customHeight="1" x14ac:dyDescent="0.55000000000000004">
      <c r="A58" s="52"/>
      <c r="B58" s="603" t="s">
        <v>496</v>
      </c>
      <c r="C58" s="604"/>
      <c r="D58" s="604"/>
      <c r="E58" s="605" t="s">
        <v>497</v>
      </c>
      <c r="F58" s="606"/>
      <c r="G58" s="606"/>
      <c r="H58" s="607" t="s">
        <v>168</v>
      </c>
      <c r="I58" s="608"/>
      <c r="J58" s="52"/>
      <c r="K58" s="603" t="s">
        <v>498</v>
      </c>
      <c r="L58" s="604"/>
      <c r="M58" s="604"/>
      <c r="N58" s="605" t="s">
        <v>499</v>
      </c>
      <c r="O58" s="606"/>
      <c r="P58" s="606"/>
      <c r="Q58" s="607" t="s">
        <v>175</v>
      </c>
      <c r="R58" s="608"/>
      <c r="S58" s="53" t="s">
        <v>500</v>
      </c>
      <c r="T58" s="603" t="s">
        <v>501</v>
      </c>
      <c r="U58" s="604"/>
      <c r="V58" s="604"/>
      <c r="W58" s="605" t="s">
        <v>502</v>
      </c>
      <c r="X58" s="606"/>
      <c r="Y58" s="606"/>
      <c r="Z58" s="607" t="s">
        <v>156</v>
      </c>
      <c r="AA58" s="608"/>
    </row>
    <row r="59" spans="1:27" ht="16.5" customHeight="1" x14ac:dyDescent="0.55000000000000004">
      <c r="A59" s="52"/>
      <c r="B59" s="603" t="s">
        <v>503</v>
      </c>
      <c r="C59" s="604"/>
      <c r="D59" s="604"/>
      <c r="E59" s="605" t="s">
        <v>504</v>
      </c>
      <c r="F59" s="606"/>
      <c r="G59" s="606"/>
      <c r="H59" s="607" t="s">
        <v>156</v>
      </c>
      <c r="I59" s="608"/>
      <c r="J59" s="52"/>
      <c r="K59" s="603" t="s">
        <v>505</v>
      </c>
      <c r="L59" s="604"/>
      <c r="M59" s="604"/>
      <c r="N59" s="605" t="s">
        <v>506</v>
      </c>
      <c r="O59" s="606"/>
      <c r="P59" s="606"/>
      <c r="Q59" s="607" t="s">
        <v>153</v>
      </c>
      <c r="R59" s="608"/>
      <c r="S59" s="52"/>
      <c r="T59" s="603" t="s">
        <v>507</v>
      </c>
      <c r="U59" s="604"/>
      <c r="V59" s="604"/>
      <c r="W59" s="605" t="s">
        <v>508</v>
      </c>
      <c r="X59" s="606"/>
      <c r="Y59" s="606"/>
      <c r="Z59" s="607" t="s">
        <v>201</v>
      </c>
      <c r="AA59" s="608"/>
    </row>
    <row r="60" spans="1:27" ht="16.5" customHeight="1" x14ac:dyDescent="0.55000000000000004">
      <c r="A60" s="52"/>
      <c r="B60" s="603" t="s">
        <v>509</v>
      </c>
      <c r="C60" s="604"/>
      <c r="D60" s="604"/>
      <c r="E60" s="605" t="s">
        <v>510</v>
      </c>
      <c r="F60" s="606"/>
      <c r="G60" s="606"/>
      <c r="H60" s="607" t="s">
        <v>123</v>
      </c>
      <c r="I60" s="608"/>
      <c r="J60" s="52"/>
      <c r="K60" s="603" t="s">
        <v>511</v>
      </c>
      <c r="L60" s="604"/>
      <c r="M60" s="604"/>
      <c r="N60" s="605" t="s">
        <v>512</v>
      </c>
      <c r="O60" s="606"/>
      <c r="P60" s="606"/>
      <c r="Q60" s="607" t="s">
        <v>123</v>
      </c>
      <c r="R60" s="608"/>
      <c r="S60" s="53" t="s">
        <v>513</v>
      </c>
      <c r="T60" s="603" t="s">
        <v>514</v>
      </c>
      <c r="U60" s="604"/>
      <c r="V60" s="604"/>
      <c r="W60" s="605" t="s">
        <v>515</v>
      </c>
      <c r="X60" s="606"/>
      <c r="Y60" s="606"/>
      <c r="Z60" s="607" t="s">
        <v>153</v>
      </c>
      <c r="AA60" s="608"/>
    </row>
    <row r="61" spans="1:27" ht="16.5" customHeight="1" x14ac:dyDescent="0.55000000000000004">
      <c r="A61" s="52"/>
      <c r="B61" s="603" t="s">
        <v>516</v>
      </c>
      <c r="C61" s="604"/>
      <c r="D61" s="604"/>
      <c r="E61" s="605" t="s">
        <v>517</v>
      </c>
      <c r="F61" s="606"/>
      <c r="G61" s="606"/>
      <c r="H61" s="607" t="s">
        <v>156</v>
      </c>
      <c r="I61" s="608"/>
      <c r="J61" s="52"/>
      <c r="K61" s="603" t="s">
        <v>518</v>
      </c>
      <c r="L61" s="604"/>
      <c r="M61" s="604"/>
      <c r="N61" s="605" t="s">
        <v>519</v>
      </c>
      <c r="O61" s="606"/>
      <c r="P61" s="606"/>
      <c r="Q61" s="607" t="s">
        <v>116</v>
      </c>
      <c r="R61" s="608"/>
      <c r="S61" s="53" t="s">
        <v>520</v>
      </c>
      <c r="T61" s="603" t="s">
        <v>521</v>
      </c>
      <c r="U61" s="604"/>
      <c r="V61" s="604"/>
      <c r="W61" s="605" t="s">
        <v>522</v>
      </c>
      <c r="X61" s="606"/>
      <c r="Y61" s="606"/>
      <c r="Z61" s="607" t="s">
        <v>153</v>
      </c>
      <c r="AA61" s="608"/>
    </row>
    <row r="62" spans="1:27" ht="16.5" customHeight="1" x14ac:dyDescent="0.55000000000000004">
      <c r="A62" s="52"/>
      <c r="B62" s="603" t="s">
        <v>523</v>
      </c>
      <c r="C62" s="604"/>
      <c r="D62" s="604"/>
      <c r="E62" s="605" t="s">
        <v>524</v>
      </c>
      <c r="F62" s="606"/>
      <c r="G62" s="606"/>
      <c r="H62" s="607" t="s">
        <v>161</v>
      </c>
      <c r="I62" s="608"/>
      <c r="J62" s="52"/>
      <c r="K62" s="603" t="s">
        <v>525</v>
      </c>
      <c r="L62" s="604"/>
      <c r="M62" s="604"/>
      <c r="N62" s="605" t="s">
        <v>526</v>
      </c>
      <c r="O62" s="606"/>
      <c r="P62" s="606"/>
      <c r="Q62" s="607" t="s">
        <v>181</v>
      </c>
      <c r="R62" s="608"/>
      <c r="S62" s="52"/>
      <c r="T62" s="603" t="s">
        <v>527</v>
      </c>
      <c r="U62" s="604"/>
      <c r="V62" s="604"/>
      <c r="W62" s="605" t="s">
        <v>528</v>
      </c>
      <c r="X62" s="606"/>
      <c r="Y62" s="606"/>
      <c r="Z62" s="607" t="s">
        <v>198</v>
      </c>
      <c r="AA62" s="608"/>
    </row>
    <row r="63" spans="1:27" ht="16.5" customHeight="1" x14ac:dyDescent="0.55000000000000004">
      <c r="A63" s="54" t="s">
        <v>529</v>
      </c>
      <c r="B63" s="611" t="s">
        <v>530</v>
      </c>
      <c r="C63" s="612"/>
      <c r="D63" s="612"/>
      <c r="E63" s="613" t="s">
        <v>531</v>
      </c>
      <c r="F63" s="614"/>
      <c r="G63" s="614"/>
      <c r="H63" s="615" t="s">
        <v>198</v>
      </c>
      <c r="I63" s="616"/>
      <c r="J63" s="55"/>
      <c r="K63" s="611" t="s">
        <v>532</v>
      </c>
      <c r="L63" s="612"/>
      <c r="M63" s="612"/>
      <c r="N63" s="613" t="s">
        <v>533</v>
      </c>
      <c r="O63" s="614"/>
      <c r="P63" s="614"/>
      <c r="Q63" s="615" t="s">
        <v>198</v>
      </c>
      <c r="R63" s="616"/>
      <c r="S63" s="54" t="s">
        <v>534</v>
      </c>
      <c r="T63" s="611" t="s">
        <v>535</v>
      </c>
      <c r="U63" s="612"/>
      <c r="V63" s="612"/>
      <c r="W63" s="613"/>
      <c r="X63" s="614"/>
      <c r="Y63" s="614"/>
      <c r="Z63" s="615" t="s">
        <v>130</v>
      </c>
      <c r="AA63" s="616"/>
    </row>
  </sheetData>
  <sheetProtection algorithmName="SHA-512" hashValue="ZBA8LwRQNLNq18+7TQa19qiyoubvNtE97Os85Zdvq7zq3XWymqze7lGCszxOOn59ZEZQu8J43prx4ZCZJIMGvg==" saltValue="s0RlVz6fW1s0af0+iKoZwQ==" spinCount="100000" sheet="1" objects="1" scenarios="1" selectLockedCells="1" selectUnlockedCells="1"/>
  <mergeCells count="555">
    <mergeCell ref="T63:V63"/>
    <mergeCell ref="W63:Y63"/>
    <mergeCell ref="Z63:AA63"/>
    <mergeCell ref="B63:D63"/>
    <mergeCell ref="E63:G63"/>
    <mergeCell ref="H63:I63"/>
    <mergeCell ref="K63:M63"/>
    <mergeCell ref="N63:P63"/>
    <mergeCell ref="Q63:R63"/>
    <mergeCell ref="B62:D62"/>
    <mergeCell ref="E62:G62"/>
    <mergeCell ref="H62:I62"/>
    <mergeCell ref="K62:M62"/>
    <mergeCell ref="N62:P62"/>
    <mergeCell ref="Q62:R62"/>
    <mergeCell ref="T62:V62"/>
    <mergeCell ref="W62:Y62"/>
    <mergeCell ref="Z62:AA62"/>
    <mergeCell ref="B61:D61"/>
    <mergeCell ref="E61:G61"/>
    <mergeCell ref="H61:I61"/>
    <mergeCell ref="K61:M61"/>
    <mergeCell ref="N61:P61"/>
    <mergeCell ref="Q61:R61"/>
    <mergeCell ref="T61:V61"/>
    <mergeCell ref="W61:Y61"/>
    <mergeCell ref="Z61:AA61"/>
    <mergeCell ref="T59:V59"/>
    <mergeCell ref="W59:Y59"/>
    <mergeCell ref="Z59:AA59"/>
    <mergeCell ref="B60:D60"/>
    <mergeCell ref="E60:G60"/>
    <mergeCell ref="H60:I60"/>
    <mergeCell ref="K60:M60"/>
    <mergeCell ref="N60:P60"/>
    <mergeCell ref="Q60:R60"/>
    <mergeCell ref="T60:V60"/>
    <mergeCell ref="B59:D59"/>
    <mergeCell ref="E59:G59"/>
    <mergeCell ref="H59:I59"/>
    <mergeCell ref="K59:M59"/>
    <mergeCell ref="N59:P59"/>
    <mergeCell ref="Q59:R59"/>
    <mergeCell ref="W60:Y60"/>
    <mergeCell ref="Z60:AA60"/>
    <mergeCell ref="B58:D58"/>
    <mergeCell ref="E58:G58"/>
    <mergeCell ref="H58:I58"/>
    <mergeCell ref="K58:M58"/>
    <mergeCell ref="N58:P58"/>
    <mergeCell ref="Q58:R58"/>
    <mergeCell ref="T58:V58"/>
    <mergeCell ref="W58:Y58"/>
    <mergeCell ref="Z58:AA58"/>
    <mergeCell ref="B57:D57"/>
    <mergeCell ref="E57:G57"/>
    <mergeCell ref="H57:I57"/>
    <mergeCell ref="K57:M57"/>
    <mergeCell ref="N57:P57"/>
    <mergeCell ref="Q57:R57"/>
    <mergeCell ref="T57:V57"/>
    <mergeCell ref="W57:Y57"/>
    <mergeCell ref="Z57:AA57"/>
    <mergeCell ref="T55:V55"/>
    <mergeCell ref="W55:Y55"/>
    <mergeCell ref="Z55:AA55"/>
    <mergeCell ref="B56:D56"/>
    <mergeCell ref="E56:G56"/>
    <mergeCell ref="H56:I56"/>
    <mergeCell ref="K56:M56"/>
    <mergeCell ref="N56:P56"/>
    <mergeCell ref="Q56:R56"/>
    <mergeCell ref="T56:V56"/>
    <mergeCell ref="B55:D55"/>
    <mergeCell ref="E55:G55"/>
    <mergeCell ref="H55:I55"/>
    <mergeCell ref="K55:M55"/>
    <mergeCell ref="N55:P55"/>
    <mergeCell ref="Q55:R55"/>
    <mergeCell ref="W56:Y56"/>
    <mergeCell ref="Z56:AA56"/>
    <mergeCell ref="B54:D54"/>
    <mergeCell ref="E54:G54"/>
    <mergeCell ref="H54:I54"/>
    <mergeCell ref="K54:M54"/>
    <mergeCell ref="N54:P54"/>
    <mergeCell ref="Q54:R54"/>
    <mergeCell ref="T54:V54"/>
    <mergeCell ref="W54:Y54"/>
    <mergeCell ref="Z54:AA54"/>
    <mergeCell ref="B53:D53"/>
    <mergeCell ref="E53:G53"/>
    <mergeCell ref="H53:I53"/>
    <mergeCell ref="K53:M53"/>
    <mergeCell ref="N53:P53"/>
    <mergeCell ref="Q53:R53"/>
    <mergeCell ref="T53:V53"/>
    <mergeCell ref="W53:Y53"/>
    <mergeCell ref="Z53:AA53"/>
    <mergeCell ref="T51:V51"/>
    <mergeCell ref="W51:Y51"/>
    <mergeCell ref="Z51:AA51"/>
    <mergeCell ref="B52:D52"/>
    <mergeCell ref="E52:G52"/>
    <mergeCell ref="H52:I52"/>
    <mergeCell ref="K52:M52"/>
    <mergeCell ref="N52:P52"/>
    <mergeCell ref="Q52:R52"/>
    <mergeCell ref="T52:V52"/>
    <mergeCell ref="B51:D51"/>
    <mergeCell ref="E51:G51"/>
    <mergeCell ref="H51:I51"/>
    <mergeCell ref="K51:M51"/>
    <mergeCell ref="N51:P51"/>
    <mergeCell ref="Q51:R51"/>
    <mergeCell ref="W52:Y52"/>
    <mergeCell ref="Z52:AA52"/>
    <mergeCell ref="B50:D50"/>
    <mergeCell ref="E50:G50"/>
    <mergeCell ref="H50:I50"/>
    <mergeCell ref="K50:M50"/>
    <mergeCell ref="N50:P50"/>
    <mergeCell ref="Q50:R50"/>
    <mergeCell ref="T50:V50"/>
    <mergeCell ref="W50:Y50"/>
    <mergeCell ref="Z50:AA50"/>
    <mergeCell ref="B49:D49"/>
    <mergeCell ref="E49:G49"/>
    <mergeCell ref="H49:I49"/>
    <mergeCell ref="K49:M49"/>
    <mergeCell ref="N49:P49"/>
    <mergeCell ref="Q49:R49"/>
    <mergeCell ref="T49:V49"/>
    <mergeCell ref="W49:Y49"/>
    <mergeCell ref="Z49:AA49"/>
    <mergeCell ref="T47:V47"/>
    <mergeCell ref="W47:Y47"/>
    <mergeCell ref="Z47:AA47"/>
    <mergeCell ref="B48:D48"/>
    <mergeCell ref="E48:G48"/>
    <mergeCell ref="H48:I48"/>
    <mergeCell ref="K48:M48"/>
    <mergeCell ref="N48:P48"/>
    <mergeCell ref="Q48:R48"/>
    <mergeCell ref="T48:V48"/>
    <mergeCell ref="B47:D47"/>
    <mergeCell ref="E47:G47"/>
    <mergeCell ref="H47:I47"/>
    <mergeCell ref="K47:M47"/>
    <mergeCell ref="N47:P47"/>
    <mergeCell ref="Q47:R47"/>
    <mergeCell ref="W48:Y48"/>
    <mergeCell ref="Z48:AA48"/>
    <mergeCell ref="B46:D46"/>
    <mergeCell ref="E46:G46"/>
    <mergeCell ref="H46:I46"/>
    <mergeCell ref="K46:M46"/>
    <mergeCell ref="N46:P46"/>
    <mergeCell ref="Q46:R46"/>
    <mergeCell ref="T46:V46"/>
    <mergeCell ref="W46:Y46"/>
    <mergeCell ref="Z46:AA46"/>
    <mergeCell ref="B45:D45"/>
    <mergeCell ref="E45:G45"/>
    <mergeCell ref="H45:I45"/>
    <mergeCell ref="K45:M45"/>
    <mergeCell ref="N45:P45"/>
    <mergeCell ref="Q45:R45"/>
    <mergeCell ref="T45:V45"/>
    <mergeCell ref="W45:Y45"/>
    <mergeCell ref="Z45:AA45"/>
    <mergeCell ref="T43:V43"/>
    <mergeCell ref="W43:Y43"/>
    <mergeCell ref="Z43:AA43"/>
    <mergeCell ref="B44:D44"/>
    <mergeCell ref="E44:G44"/>
    <mergeCell ref="H44:I44"/>
    <mergeCell ref="K44:M44"/>
    <mergeCell ref="N44:P44"/>
    <mergeCell ref="Q44:R44"/>
    <mergeCell ref="T44:V44"/>
    <mergeCell ref="B43:D43"/>
    <mergeCell ref="E43:G43"/>
    <mergeCell ref="H43:I43"/>
    <mergeCell ref="K43:M43"/>
    <mergeCell ref="N43:P43"/>
    <mergeCell ref="Q43:R43"/>
    <mergeCell ref="W44:Y44"/>
    <mergeCell ref="Z44:AA44"/>
    <mergeCell ref="B42:D42"/>
    <mergeCell ref="E42:G42"/>
    <mergeCell ref="H42:I42"/>
    <mergeCell ref="K42:M42"/>
    <mergeCell ref="N42:P42"/>
    <mergeCell ref="Q42:R42"/>
    <mergeCell ref="T42:V42"/>
    <mergeCell ref="W42:Y42"/>
    <mergeCell ref="Z42:AA42"/>
    <mergeCell ref="B41:D41"/>
    <mergeCell ref="E41:G41"/>
    <mergeCell ref="H41:I41"/>
    <mergeCell ref="K41:M41"/>
    <mergeCell ref="N41:P41"/>
    <mergeCell ref="Q41:R41"/>
    <mergeCell ref="T41:V41"/>
    <mergeCell ref="W41:Y41"/>
    <mergeCell ref="Z41:AA41"/>
    <mergeCell ref="T39:V39"/>
    <mergeCell ref="W39:Y39"/>
    <mergeCell ref="Z39:AA39"/>
    <mergeCell ref="B40:D40"/>
    <mergeCell ref="E40:G40"/>
    <mergeCell ref="H40:I40"/>
    <mergeCell ref="K40:M40"/>
    <mergeCell ref="N40:P40"/>
    <mergeCell ref="Q40:R40"/>
    <mergeCell ref="T40:V40"/>
    <mergeCell ref="B39:D39"/>
    <mergeCell ref="E39:G39"/>
    <mergeCell ref="H39:I39"/>
    <mergeCell ref="K39:M39"/>
    <mergeCell ref="N39:P39"/>
    <mergeCell ref="Q39:R39"/>
    <mergeCell ref="W40:Y40"/>
    <mergeCell ref="Z40:AA40"/>
    <mergeCell ref="B38:D38"/>
    <mergeCell ref="E38:G38"/>
    <mergeCell ref="H38:I38"/>
    <mergeCell ref="K38:M38"/>
    <mergeCell ref="N38:P38"/>
    <mergeCell ref="Q38:R38"/>
    <mergeCell ref="T38:V38"/>
    <mergeCell ref="W38:Y38"/>
    <mergeCell ref="Z38:AA38"/>
    <mergeCell ref="B37:D37"/>
    <mergeCell ref="E37:G37"/>
    <mergeCell ref="H37:I37"/>
    <mergeCell ref="K37:M37"/>
    <mergeCell ref="N37:P37"/>
    <mergeCell ref="Q37:R37"/>
    <mergeCell ref="T37:V37"/>
    <mergeCell ref="W37:Y37"/>
    <mergeCell ref="Z37:AA37"/>
    <mergeCell ref="T35:V35"/>
    <mergeCell ref="W35:Y35"/>
    <mergeCell ref="Z35:AA35"/>
    <mergeCell ref="B36:D36"/>
    <mergeCell ref="E36:G36"/>
    <mergeCell ref="H36:I36"/>
    <mergeCell ref="K36:M36"/>
    <mergeCell ref="N36:P36"/>
    <mergeCell ref="Q36:R36"/>
    <mergeCell ref="T36:V36"/>
    <mergeCell ref="B35:D35"/>
    <mergeCell ref="E35:G35"/>
    <mergeCell ref="H35:I35"/>
    <mergeCell ref="K35:M35"/>
    <mergeCell ref="N35:P35"/>
    <mergeCell ref="Q35:R35"/>
    <mergeCell ref="W36:Y36"/>
    <mergeCell ref="Z36:AA36"/>
    <mergeCell ref="B34:D34"/>
    <mergeCell ref="E34:G34"/>
    <mergeCell ref="H34:I34"/>
    <mergeCell ref="K34:M34"/>
    <mergeCell ref="N34:P34"/>
    <mergeCell ref="Q34:R34"/>
    <mergeCell ref="T34:V34"/>
    <mergeCell ref="W34:Y34"/>
    <mergeCell ref="Z34:AA34"/>
    <mergeCell ref="B33:D33"/>
    <mergeCell ref="E33:G33"/>
    <mergeCell ref="H33:I33"/>
    <mergeCell ref="K33:M33"/>
    <mergeCell ref="N33:P33"/>
    <mergeCell ref="Q33:R33"/>
    <mergeCell ref="T33:V33"/>
    <mergeCell ref="W33:Y33"/>
    <mergeCell ref="Z33:AA33"/>
    <mergeCell ref="T31:V31"/>
    <mergeCell ref="W31:Y31"/>
    <mergeCell ref="Z31:AA31"/>
    <mergeCell ref="B32:D32"/>
    <mergeCell ref="E32:G32"/>
    <mergeCell ref="H32:I32"/>
    <mergeCell ref="K32:M32"/>
    <mergeCell ref="N32:P32"/>
    <mergeCell ref="Q32:R32"/>
    <mergeCell ref="T32:V32"/>
    <mergeCell ref="B31:D31"/>
    <mergeCell ref="E31:G31"/>
    <mergeCell ref="H31:I31"/>
    <mergeCell ref="K31:M31"/>
    <mergeCell ref="N31:P31"/>
    <mergeCell ref="Q31:R31"/>
    <mergeCell ref="W32:Y32"/>
    <mergeCell ref="Z32:AA32"/>
    <mergeCell ref="B30:D30"/>
    <mergeCell ref="E30:G30"/>
    <mergeCell ref="H30:I30"/>
    <mergeCell ref="K30:M30"/>
    <mergeCell ref="N30:P30"/>
    <mergeCell ref="Q30:R30"/>
    <mergeCell ref="T30:V30"/>
    <mergeCell ref="W30:Y30"/>
    <mergeCell ref="Z30:AA30"/>
    <mergeCell ref="B29:D29"/>
    <mergeCell ref="E29:G29"/>
    <mergeCell ref="H29:I29"/>
    <mergeCell ref="K29:M29"/>
    <mergeCell ref="N29:P29"/>
    <mergeCell ref="Q29:R29"/>
    <mergeCell ref="T29:V29"/>
    <mergeCell ref="W29:Y29"/>
    <mergeCell ref="Z29:AA29"/>
    <mergeCell ref="T27:V27"/>
    <mergeCell ref="W27:Y27"/>
    <mergeCell ref="Z27:AA27"/>
    <mergeCell ref="B28:D28"/>
    <mergeCell ref="E28:G28"/>
    <mergeCell ref="H28:I28"/>
    <mergeCell ref="K28:M28"/>
    <mergeCell ref="N28:P28"/>
    <mergeCell ref="Q28:R28"/>
    <mergeCell ref="T28:V28"/>
    <mergeCell ref="B27:D27"/>
    <mergeCell ref="E27:G27"/>
    <mergeCell ref="H27:I27"/>
    <mergeCell ref="K27:M27"/>
    <mergeCell ref="N27:P27"/>
    <mergeCell ref="Q27:R27"/>
    <mergeCell ref="W28:Y28"/>
    <mergeCell ref="Z28:AA28"/>
    <mergeCell ref="B26:D26"/>
    <mergeCell ref="E26:G26"/>
    <mergeCell ref="H26:I26"/>
    <mergeCell ref="K26:M26"/>
    <mergeCell ref="N26:P26"/>
    <mergeCell ref="Q26:R26"/>
    <mergeCell ref="T26:V26"/>
    <mergeCell ref="W26:Y26"/>
    <mergeCell ref="Z26:AA26"/>
    <mergeCell ref="B25:D25"/>
    <mergeCell ref="E25:G25"/>
    <mergeCell ref="H25:I25"/>
    <mergeCell ref="K25:M25"/>
    <mergeCell ref="N25:P25"/>
    <mergeCell ref="Q25:R25"/>
    <mergeCell ref="T25:V25"/>
    <mergeCell ref="W25:Y25"/>
    <mergeCell ref="Z25:AA25"/>
    <mergeCell ref="T23:V23"/>
    <mergeCell ref="W23:Y23"/>
    <mergeCell ref="Z23:AA23"/>
    <mergeCell ref="B24:D24"/>
    <mergeCell ref="E24:G24"/>
    <mergeCell ref="H24:I24"/>
    <mergeCell ref="K24:M24"/>
    <mergeCell ref="N24:P24"/>
    <mergeCell ref="Q24:R24"/>
    <mergeCell ref="T24:V24"/>
    <mergeCell ref="B23:D23"/>
    <mergeCell ref="E23:G23"/>
    <mergeCell ref="H23:I23"/>
    <mergeCell ref="K23:M23"/>
    <mergeCell ref="N23:P23"/>
    <mergeCell ref="Q23:R23"/>
    <mergeCell ref="W24:Y24"/>
    <mergeCell ref="Z24:AA24"/>
    <mergeCell ref="B22:D22"/>
    <mergeCell ref="E22:G22"/>
    <mergeCell ref="H22:I22"/>
    <mergeCell ref="K22:M22"/>
    <mergeCell ref="N22:P22"/>
    <mergeCell ref="Q22:R22"/>
    <mergeCell ref="T22:V22"/>
    <mergeCell ref="W22:Y22"/>
    <mergeCell ref="Z22:AA22"/>
    <mergeCell ref="B21:D21"/>
    <mergeCell ref="E21:G21"/>
    <mergeCell ref="H21:I21"/>
    <mergeCell ref="K21:M21"/>
    <mergeCell ref="N21:P21"/>
    <mergeCell ref="Q21:R21"/>
    <mergeCell ref="T21:V21"/>
    <mergeCell ref="W21:Y21"/>
    <mergeCell ref="Z21:AA21"/>
    <mergeCell ref="T19:V19"/>
    <mergeCell ref="W19:Y19"/>
    <mergeCell ref="Z19:AA19"/>
    <mergeCell ref="B20:D20"/>
    <mergeCell ref="E20:G20"/>
    <mergeCell ref="H20:I20"/>
    <mergeCell ref="K20:M20"/>
    <mergeCell ref="N20:P20"/>
    <mergeCell ref="Q20:R20"/>
    <mergeCell ref="T20:V20"/>
    <mergeCell ref="B19:D19"/>
    <mergeCell ref="E19:G19"/>
    <mergeCell ref="H19:I19"/>
    <mergeCell ref="K19:M19"/>
    <mergeCell ref="N19:P19"/>
    <mergeCell ref="Q19:R19"/>
    <mergeCell ref="W20:Y20"/>
    <mergeCell ref="Z20:AA20"/>
    <mergeCell ref="B18:D18"/>
    <mergeCell ref="E18:G18"/>
    <mergeCell ref="H18:I18"/>
    <mergeCell ref="K18:M18"/>
    <mergeCell ref="N18:P18"/>
    <mergeCell ref="Q18:R18"/>
    <mergeCell ref="T18:V18"/>
    <mergeCell ref="W18:Y18"/>
    <mergeCell ref="Z18:AA18"/>
    <mergeCell ref="B17:D17"/>
    <mergeCell ref="E17:G17"/>
    <mergeCell ref="H17:I17"/>
    <mergeCell ref="K17:M17"/>
    <mergeCell ref="N17:P17"/>
    <mergeCell ref="Q17:R17"/>
    <mergeCell ref="T17:V17"/>
    <mergeCell ref="W17:Y17"/>
    <mergeCell ref="Z17:AA17"/>
    <mergeCell ref="T15:V15"/>
    <mergeCell ref="W15:Y15"/>
    <mergeCell ref="Z15:AA15"/>
    <mergeCell ref="B16:D16"/>
    <mergeCell ref="E16:G16"/>
    <mergeCell ref="H16:I16"/>
    <mergeCell ref="K16:M16"/>
    <mergeCell ref="N16:P16"/>
    <mergeCell ref="Q16:R16"/>
    <mergeCell ref="T16:V16"/>
    <mergeCell ref="B15:D15"/>
    <mergeCell ref="E15:G15"/>
    <mergeCell ref="H15:I15"/>
    <mergeCell ref="K15:M15"/>
    <mergeCell ref="N15:P15"/>
    <mergeCell ref="Q15:R15"/>
    <mergeCell ref="W16:Y16"/>
    <mergeCell ref="Z16:AA16"/>
    <mergeCell ref="B14:D14"/>
    <mergeCell ref="E14:G14"/>
    <mergeCell ref="H14:I14"/>
    <mergeCell ref="K14:M14"/>
    <mergeCell ref="N14:P14"/>
    <mergeCell ref="Q14:R14"/>
    <mergeCell ref="T14:V14"/>
    <mergeCell ref="W14:Y14"/>
    <mergeCell ref="Z14:AA14"/>
    <mergeCell ref="B13:D13"/>
    <mergeCell ref="E13:G13"/>
    <mergeCell ref="H13:I13"/>
    <mergeCell ref="K13:M13"/>
    <mergeCell ref="N13:P13"/>
    <mergeCell ref="Q13:R13"/>
    <mergeCell ref="T13:V13"/>
    <mergeCell ref="W13:Y13"/>
    <mergeCell ref="Z13:AA13"/>
    <mergeCell ref="T11:V11"/>
    <mergeCell ref="W11:Y11"/>
    <mergeCell ref="Z11:AA11"/>
    <mergeCell ref="B12:D12"/>
    <mergeCell ref="E12:G12"/>
    <mergeCell ref="H12:I12"/>
    <mergeCell ref="K12:M12"/>
    <mergeCell ref="N12:P12"/>
    <mergeCell ref="Q12:R12"/>
    <mergeCell ref="T12:V12"/>
    <mergeCell ref="B11:D11"/>
    <mergeCell ref="E11:G11"/>
    <mergeCell ref="H11:I11"/>
    <mergeCell ref="K11:M11"/>
    <mergeCell ref="N11:P11"/>
    <mergeCell ref="Q11:R11"/>
    <mergeCell ref="W12:Y12"/>
    <mergeCell ref="Z12:AA12"/>
    <mergeCell ref="B10:D10"/>
    <mergeCell ref="E10:G10"/>
    <mergeCell ref="H10:I10"/>
    <mergeCell ref="K10:M10"/>
    <mergeCell ref="N10:P10"/>
    <mergeCell ref="Q10:R10"/>
    <mergeCell ref="T10:V10"/>
    <mergeCell ref="W10:Y10"/>
    <mergeCell ref="Z10:AA10"/>
    <mergeCell ref="B9:D9"/>
    <mergeCell ref="E9:G9"/>
    <mergeCell ref="H9:I9"/>
    <mergeCell ref="K9:M9"/>
    <mergeCell ref="N9:P9"/>
    <mergeCell ref="Q9:R9"/>
    <mergeCell ref="T9:V9"/>
    <mergeCell ref="W9:Y9"/>
    <mergeCell ref="Z9:AA9"/>
    <mergeCell ref="T7:V7"/>
    <mergeCell ref="W7:Y7"/>
    <mergeCell ref="Z7:AA7"/>
    <mergeCell ref="B8:D8"/>
    <mergeCell ref="E8:G8"/>
    <mergeCell ref="H8:I8"/>
    <mergeCell ref="K8:M8"/>
    <mergeCell ref="N8:P8"/>
    <mergeCell ref="Q8:R8"/>
    <mergeCell ref="T8:V8"/>
    <mergeCell ref="B7:D7"/>
    <mergeCell ref="E7:G7"/>
    <mergeCell ref="H7:I7"/>
    <mergeCell ref="K7:M7"/>
    <mergeCell ref="N7:P7"/>
    <mergeCell ref="Q7:R7"/>
    <mergeCell ref="W8:Y8"/>
    <mergeCell ref="Z8:AA8"/>
    <mergeCell ref="B6:D6"/>
    <mergeCell ref="E6:G6"/>
    <mergeCell ref="H6:I6"/>
    <mergeCell ref="K6:M6"/>
    <mergeCell ref="N6:P6"/>
    <mergeCell ref="Q6:R6"/>
    <mergeCell ref="T6:V6"/>
    <mergeCell ref="W6:Y6"/>
    <mergeCell ref="Z6:AA6"/>
    <mergeCell ref="W4:Y4"/>
    <mergeCell ref="Z4:AA4"/>
    <mergeCell ref="B5:D5"/>
    <mergeCell ref="E5:G5"/>
    <mergeCell ref="H5:I5"/>
    <mergeCell ref="K5:M5"/>
    <mergeCell ref="N5:P5"/>
    <mergeCell ref="Q5:R5"/>
    <mergeCell ref="T5:V5"/>
    <mergeCell ref="W5:Y5"/>
    <mergeCell ref="Z5:AA5"/>
    <mergeCell ref="B4:D4"/>
    <mergeCell ref="E4:G4"/>
    <mergeCell ref="H4:I4"/>
    <mergeCell ref="K4:M4"/>
    <mergeCell ref="N4:P4"/>
    <mergeCell ref="Q4:R4"/>
    <mergeCell ref="T4:V4"/>
    <mergeCell ref="S2:Y2"/>
    <mergeCell ref="Z2:AA2"/>
    <mergeCell ref="S3:V3"/>
    <mergeCell ref="W3:Y3"/>
    <mergeCell ref="Z3:AA3"/>
    <mergeCell ref="A3:D3"/>
    <mergeCell ref="E3:G3"/>
    <mergeCell ref="H3:I3"/>
    <mergeCell ref="J3:M3"/>
    <mergeCell ref="N3:P3"/>
    <mergeCell ref="Q3:R3"/>
    <mergeCell ref="A2:G2"/>
    <mergeCell ref="H2:I2"/>
    <mergeCell ref="J2:P2"/>
    <mergeCell ref="Q2:R2"/>
  </mergeCells>
  <phoneticPr fontId="1"/>
  <printOptions horizontalCentered="1" verticalCentered="1"/>
  <pageMargins left="0.70866141732283472" right="0.70866141732283472" top="0.74803149606299213" bottom="0.74803149606299213" header="0.31496062992125984" footer="0.31496062992125984"/>
  <pageSetup paperSize="9" scale="74" firstPageNumber="0" orientation="portrait" blackAndWhite="1" useFirstPageNumber="1"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702E-11BC-44ED-A161-88286271A4AF}">
  <sheetPr>
    <tabColor rgb="FFFFCCFF"/>
    <pageSetUpPr fitToPage="1"/>
  </sheetPr>
  <dimension ref="A1:C33"/>
  <sheetViews>
    <sheetView showGridLines="0" zoomScale="85" zoomScaleNormal="85" workbookViewId="0">
      <selection activeCell="BP5" sqref="BP5:CA5"/>
    </sheetView>
  </sheetViews>
  <sheetFormatPr defaultColWidth="9" defaultRowHeight="13" x14ac:dyDescent="0.2"/>
  <cols>
    <col min="1" max="1" width="8.75" style="58" customWidth="1"/>
    <col min="2" max="2" width="24.33203125" style="58" bestFit="1" customWidth="1"/>
    <col min="3" max="3" width="90" style="77" customWidth="1"/>
    <col min="4" max="16384" width="9" style="58"/>
  </cols>
  <sheetData>
    <row r="1" spans="1:3" ht="24" thickBot="1" x14ac:dyDescent="0.25">
      <c r="A1" s="56" t="s">
        <v>536</v>
      </c>
      <c r="B1" s="56"/>
      <c r="C1" s="57"/>
    </row>
    <row r="2" spans="1:3" ht="38.25" customHeight="1" thickBot="1" x14ac:dyDescent="0.25">
      <c r="A2" s="59" t="s">
        <v>537</v>
      </c>
      <c r="B2" s="60" t="s">
        <v>538</v>
      </c>
      <c r="C2" s="61" t="s">
        <v>109</v>
      </c>
    </row>
    <row r="3" spans="1:3" ht="21.75" customHeight="1" x14ac:dyDescent="0.2">
      <c r="A3" s="62" t="s">
        <v>130</v>
      </c>
      <c r="B3" s="63" t="s">
        <v>539</v>
      </c>
      <c r="C3" s="64" t="s">
        <v>540</v>
      </c>
    </row>
    <row r="4" spans="1:3" ht="21.75" customHeight="1" x14ac:dyDescent="0.2">
      <c r="A4" s="65" t="s">
        <v>217</v>
      </c>
      <c r="B4" s="66" t="s">
        <v>542</v>
      </c>
      <c r="C4" s="67" t="s">
        <v>543</v>
      </c>
    </row>
    <row r="5" spans="1:3" ht="21.75" customHeight="1" x14ac:dyDescent="0.2">
      <c r="A5" s="68" t="s">
        <v>181</v>
      </c>
      <c r="B5" s="69" t="s">
        <v>545</v>
      </c>
      <c r="C5" s="70" t="s">
        <v>546</v>
      </c>
    </row>
    <row r="6" spans="1:3" ht="21.75" customHeight="1" x14ac:dyDescent="0.2">
      <c r="A6" s="65" t="s">
        <v>178</v>
      </c>
      <c r="B6" s="66" t="s">
        <v>548</v>
      </c>
      <c r="C6" s="67" t="s">
        <v>549</v>
      </c>
    </row>
    <row r="7" spans="1:3" ht="21.75" customHeight="1" x14ac:dyDescent="0.2">
      <c r="A7" s="68" t="s">
        <v>156</v>
      </c>
      <c r="B7" s="69" t="s">
        <v>551</v>
      </c>
      <c r="C7" s="70" t="s">
        <v>552</v>
      </c>
    </row>
    <row r="8" spans="1:3" ht="21.75" customHeight="1" x14ac:dyDescent="0.2">
      <c r="A8" s="62"/>
      <c r="B8" s="63"/>
      <c r="C8" s="64" t="s">
        <v>553</v>
      </c>
    </row>
    <row r="9" spans="1:3" ht="21.75" customHeight="1" x14ac:dyDescent="0.2">
      <c r="A9" s="68" t="s">
        <v>126</v>
      </c>
      <c r="B9" s="69" t="s">
        <v>554</v>
      </c>
      <c r="C9" s="70" t="s">
        <v>555</v>
      </c>
    </row>
    <row r="10" spans="1:3" ht="21.75" customHeight="1" x14ac:dyDescent="0.2">
      <c r="A10" s="68" t="s">
        <v>123</v>
      </c>
      <c r="B10" s="69" t="s">
        <v>557</v>
      </c>
      <c r="C10" s="70" t="s">
        <v>558</v>
      </c>
    </row>
    <row r="11" spans="1:3" ht="21.75" customHeight="1" x14ac:dyDescent="0.2">
      <c r="A11" s="71"/>
      <c r="B11" s="72"/>
      <c r="C11" s="73" t="s">
        <v>559</v>
      </c>
    </row>
    <row r="12" spans="1:3" ht="21.75" customHeight="1" x14ac:dyDescent="0.2">
      <c r="A12" s="68" t="s">
        <v>165</v>
      </c>
      <c r="B12" s="69" t="s">
        <v>560</v>
      </c>
      <c r="C12" s="70" t="s">
        <v>561</v>
      </c>
    </row>
    <row r="13" spans="1:3" ht="21.75" customHeight="1" x14ac:dyDescent="0.2">
      <c r="A13" s="68" t="s">
        <v>116</v>
      </c>
      <c r="B13" s="69" t="s">
        <v>563</v>
      </c>
      <c r="C13" s="70" t="s">
        <v>564</v>
      </c>
    </row>
    <row r="14" spans="1:3" ht="21.75" customHeight="1" x14ac:dyDescent="0.2">
      <c r="A14" s="71"/>
      <c r="B14" s="72"/>
      <c r="C14" s="73" t="s">
        <v>565</v>
      </c>
    </row>
    <row r="15" spans="1:3" ht="19.5" customHeight="1" x14ac:dyDescent="0.2">
      <c r="A15" s="68" t="s">
        <v>198</v>
      </c>
      <c r="B15" s="69" t="s">
        <v>566</v>
      </c>
      <c r="C15" s="70" t="s">
        <v>567</v>
      </c>
    </row>
    <row r="16" spans="1:3" ht="19.5" customHeight="1" x14ac:dyDescent="0.2">
      <c r="A16" s="65" t="s">
        <v>201</v>
      </c>
      <c r="B16" s="66" t="s">
        <v>568</v>
      </c>
      <c r="C16" s="67" t="s">
        <v>569</v>
      </c>
    </row>
    <row r="17" spans="1:3" ht="19.5" customHeight="1" x14ac:dyDescent="0.2">
      <c r="A17" s="68" t="s">
        <v>153</v>
      </c>
      <c r="B17" s="69" t="s">
        <v>571</v>
      </c>
      <c r="C17" s="70" t="s">
        <v>572</v>
      </c>
    </row>
    <row r="18" spans="1:3" ht="19.5" customHeight="1" x14ac:dyDescent="0.2">
      <c r="A18" s="68" t="s">
        <v>120</v>
      </c>
      <c r="B18" s="69" t="s">
        <v>573</v>
      </c>
      <c r="C18" s="70" t="s">
        <v>574</v>
      </c>
    </row>
    <row r="19" spans="1:3" ht="19.5" customHeight="1" x14ac:dyDescent="0.2">
      <c r="A19" s="68" t="s">
        <v>161</v>
      </c>
      <c r="B19" s="69" t="s">
        <v>575</v>
      </c>
      <c r="C19" s="70" t="s">
        <v>576</v>
      </c>
    </row>
    <row r="20" spans="1:3" ht="19.5" customHeight="1" x14ac:dyDescent="0.2">
      <c r="A20" s="68" t="s">
        <v>148</v>
      </c>
      <c r="B20" s="69" t="s">
        <v>577</v>
      </c>
      <c r="C20" s="70" t="s">
        <v>578</v>
      </c>
    </row>
    <row r="21" spans="1:3" ht="19.5" customHeight="1" x14ac:dyDescent="0.2">
      <c r="A21" s="68" t="s">
        <v>185</v>
      </c>
      <c r="B21" s="69" t="s">
        <v>580</v>
      </c>
      <c r="C21" s="70" t="s">
        <v>581</v>
      </c>
    </row>
    <row r="22" spans="1:3" ht="19.5" customHeight="1" x14ac:dyDescent="0.2">
      <c r="A22" s="68" t="s">
        <v>188</v>
      </c>
      <c r="B22" s="69" t="s">
        <v>582</v>
      </c>
      <c r="C22" s="70" t="s">
        <v>583</v>
      </c>
    </row>
    <row r="23" spans="1:3" ht="19.5" customHeight="1" x14ac:dyDescent="0.2">
      <c r="A23" s="68" t="s">
        <v>134</v>
      </c>
      <c r="B23" s="69" t="s">
        <v>585</v>
      </c>
      <c r="C23" s="70" t="s">
        <v>586</v>
      </c>
    </row>
    <row r="24" spans="1:3" ht="19.5" customHeight="1" x14ac:dyDescent="0.2">
      <c r="A24" s="68" t="s">
        <v>145</v>
      </c>
      <c r="B24" s="69" t="s">
        <v>588</v>
      </c>
      <c r="C24" s="70" t="s">
        <v>589</v>
      </c>
    </row>
    <row r="25" spans="1:3" ht="19.5" customHeight="1" x14ac:dyDescent="0.2">
      <c r="A25" s="71"/>
      <c r="B25" s="72"/>
      <c r="C25" s="73" t="s">
        <v>590</v>
      </c>
    </row>
    <row r="26" spans="1:3" ht="19.5" customHeight="1" x14ac:dyDescent="0.2">
      <c r="A26" s="65" t="s">
        <v>168</v>
      </c>
      <c r="B26" s="66" t="s">
        <v>592</v>
      </c>
      <c r="C26" s="67" t="s">
        <v>593</v>
      </c>
    </row>
    <row r="27" spans="1:3" ht="19.5" customHeight="1" thickBot="1" x14ac:dyDescent="0.25">
      <c r="A27" s="74" t="s">
        <v>175</v>
      </c>
      <c r="B27" s="75" t="s">
        <v>595</v>
      </c>
      <c r="C27" s="76" t="s">
        <v>596</v>
      </c>
    </row>
    <row r="28" spans="1:3" ht="14.25" customHeight="1" x14ac:dyDescent="0.2"/>
    <row r="29" spans="1:3" ht="14.25" customHeight="1" x14ac:dyDescent="0.2"/>
    <row r="33" ht="14.25" customHeight="1" x14ac:dyDescent="0.2"/>
  </sheetData>
  <sheetProtection algorithmName="SHA-512" hashValue="R5Qxd2l5fU3O7wfV2IOiiLHao/5IbDkdsRov4T5efsFOX8szMPfqPbOXG/VylfRQ3VJ5WmlYTwS0PwPyKdFzEQ==" saltValue="dmeHmu7WRp87CurhTTV2sQ==" spinCount="100000" sheet="1" objects="1" scenarios="1" selectLockedCells="1" selectUnlockedCells="1"/>
  <phoneticPr fontId="1"/>
  <printOptions horizontalCentered="1" verticalCentered="1"/>
  <pageMargins left="0.74803149606299213" right="0.39370078740157483" top="0.59055118110236227" bottom="0.59055118110236227" header="0.51181102362204722" footer="0.51181102362204722"/>
  <pageSetup paperSize="9" scale="74" firstPageNumber="0" orientation="portrait" blackAndWhite="1" useFirstPageNumber="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入力表</vt:lpstr>
      <vt:lpstr>月計表①</vt:lpstr>
      <vt:lpstr>月計表②</vt:lpstr>
      <vt:lpstr>月計表③</vt:lpstr>
      <vt:lpstr>申告書</vt:lpstr>
      <vt:lpstr>納入書</vt:lpstr>
      <vt:lpstr>ｺｰﾄﾞ一覧（50音順）</vt:lpstr>
      <vt:lpstr>ｺｰﾄﾞ一覧（ｺｰﾄﾞ順）</vt:lpstr>
      <vt:lpstr>'ｺｰﾄﾞ一覧（ｺｰﾄﾞ順）'!Print_Area</vt:lpstr>
      <vt:lpstr>月計表①!Print_Area</vt:lpstr>
      <vt:lpstr>月計表②!Print_Area</vt:lpstr>
      <vt:lpstr>月計表③!Print_Area</vt:lpstr>
      <vt:lpstr>入力表!Print_Area</vt:lpstr>
      <vt:lpstr>納入書!Print_Area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2026-07-03T06:12:33Z</dcterms:modified>
</cp:coreProperties>
</file>